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CEDS)/DTCitron_NYU/Projects/ZWE_calibration/Zimbabwe/Data/"/>
    </mc:Choice>
  </mc:AlternateContent>
  <xr:revisionPtr revIDLastSave="0" documentId="13_ncr:1_{2C44C7B6-B2BA-7745-83B7-574CEE49669E}" xr6:coauthVersionLast="47" xr6:coauthVersionMax="47" xr10:uidLastSave="{00000000-0000-0000-0000-000000000000}"/>
  <bookViews>
    <workbookView xWindow="-36680" yWindow="-300" windowWidth="31240" windowHeight="18180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OnART" sheetId="13" r:id="rId9"/>
    <sheet name="Obs-Population" sheetId="14" r:id="rId10"/>
    <sheet name="Obs-Incidence" sheetId="15" r:id="rId11"/>
  </sheets>
  <functionGroups builtInGroupCount="19"/>
  <definedNames>
    <definedName name="additional_columns" localSheetId="10">'Obs-Incidence'!$A$6:$L$6</definedName>
    <definedName name="additional_columns" localSheetId="8">'Obs-OnART'!$A$6:$L$6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'Obs-Incidence'!$B$1</definedName>
    <definedName name="channel_name" localSheetId="8">'Obs-OnART'!$B$1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'Obs-Incidence'!$A$8:$G$1008</definedName>
    <definedName name="csv" localSheetId="8">'Obs-OnART'!$A$8:$G$1008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10">'Obs-Incidence'!$E$8</definedName>
    <definedName name="data_channels" localSheetId="8">'Obs-OnART'!$E$8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'Obs-Incidence'!$A$4:$L$4</definedName>
    <definedName name="stratifiers" localSheetId="8">'Obs-OnART'!$A$4:$L$4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<sst xmlns="http://schemas.openxmlformats.org/spreadsheetml/2006/main" count="1048" uniqueCount="225">
  <si>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</si>
  <si>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</si>
  <si>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</si>
  <si>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</si>
  <si>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</si>
  <si>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</si>
  <si>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</si>
  <si>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</si>
  <si>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</si>
  <si>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</si>
  <si>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</si>
  <si>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</si>
  <si>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</si>
  <si>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</si>
  <si>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</si>
  <si>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</si>
  <si>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</si>
  <si>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</si>
  <si>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</si>
  <si>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</si>
  <si>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</si>
  <si>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</si>
  <si>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</si>
  <si>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</si>
  <si>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</si>
  <si>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</si>
  <si>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</si>
  <si>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</si>
  <si>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</si>
  <si>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</si>
  <si>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</si>
  <si>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</si>
  <si>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</si>
  <si>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</si>
  <si>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</si>
  <si>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</si>
  <si>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</si>
  <si>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</si>
  <si>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</si>
  <si>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</si>
  <si>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</si>
  <si>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</si>
  <si>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</si>
  <si>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</si>
  <si>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</si>
  <si>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</si>
  <si>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</si>
  <si>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</si>
  <si>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</si>
  <si>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</si>
  <si>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</si>
  <si>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</si>
  <si>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</si>
  <si>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</si>
  <si>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</si>
  <si>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</si>
  <si>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</si>
  <si>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</si>
  <si>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</si>
  <si>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</si>
  <si>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</si>
  <si>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</si>
  <si>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</si>
  <si>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</si>
  <si>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</si>
  <si>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</si>
  <si>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</si>
  <si>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</si>
  <si>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</si>
  <si>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</si>
  <si>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</si>
  <si>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</si>
  <si>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</si>
  <si>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</si>
  <si>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</si>
  <si>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</si>
  <si>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</si>
  <si>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</si>
  <si>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</si>
  <si>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</si>
  <si>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</si>
  <si>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</si>
  <si>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</si>
  <si>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</si>
  <si>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</si>
  <si>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</si>
  <si>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</si>
  <si>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</si>
  <si>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</si>
  <si>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</si>
  <si>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</si>
  <si>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</si>
  <si>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</si>
  <si>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</si>
  <si>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</si>
  <si>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</si>
  <si>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</si>
  <si>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</si>
  <si>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</si>
  <si>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</si>
  <si>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Zimbabwe</t>
  </si>
  <si>
    <t>[15:50)</t>
  </si>
  <si>
    <t>Base Infectivity</t>
  </si>
  <si>
    <t>Trans Form Rate</t>
  </si>
  <si>
    <t>Informal Form Rate</t>
  </si>
  <si>
    <t>Marital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</si>
  <si>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</si>
  <si>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</si>
  <si>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</si>
  <si>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</si>
  <si>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</si>
  <si>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</si>
  <si>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Rate</t>
  </si>
  <si>
    <t>Mrtl Condom Mid</t>
  </si>
  <si>
    <t>Mrtl Condom Max</t>
  </si>
  <si>
    <t>Trns Condoms Max</t>
  </si>
  <si>
    <t>Infrml Condoms Max</t>
  </si>
  <si>
    <t>All: LOW Risk</t>
  </si>
  <si>
    <t>Risk Assortivity</t>
  </si>
  <si>
    <t>Pr Ex Trns Male LOW</t>
  </si>
  <si>
    <t>Pr Ex Trns Male MED</t>
  </si>
  <si>
    <t>Pr Ex Trns Fem LOW</t>
  </si>
  <si>
    <t>Pr Ex Trns Fem MED</t>
  </si>
  <si>
    <t>Pr Ex Infrml Male LOW</t>
  </si>
  <si>
    <t>Pr Ex Infrml Male MED</t>
  </si>
  <si>
    <t>Pr Ex Infrml Fem LOW</t>
  </si>
  <si>
    <t>Pr Ex Infrml Fem MED</t>
  </si>
  <si>
    <t>Max Trns M LOW</t>
  </si>
  <si>
    <t>Max Trns F LOW</t>
  </si>
  <si>
    <t>Max Infrml M LOW</t>
  </si>
  <si>
    <t>Max Infrml F LOW</t>
  </si>
  <si>
    <t>Max Trns M MED</t>
  </si>
  <si>
    <t>Max Trns F MED</t>
  </si>
  <si>
    <t>Max Infrml M MED</t>
  </si>
  <si>
    <t>Max Infrml F MED</t>
  </si>
  <si>
    <t>Max Mrtl M MED</t>
  </si>
  <si>
    <t>Max Mrtl F MED</t>
  </si>
  <si>
    <t>HCT Uptake Post Debut Max</t>
  </si>
  <si>
    <t>HCT Uptake Post Debut Mid</t>
  </si>
  <si>
    <t>SeedYr HIGH</t>
  </si>
  <si>
    <t>Demographic Coverage</t>
  </si>
  <si>
    <t>Base_Infectivity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</si>
  <si>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</si>
  <si>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</si>
  <si>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</si>
  <si>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</si>
  <si>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</si>
  <si>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Society__KP_Defaults.INFORMAL.Relationship_Parameters.Condom_Usage_Probability.Mid</t>
  </si>
  <si>
    <t>Society__KP_Defaults.INFORMAL.Relationship_Parameters.Condom_Usage_Probability.Rate</t>
  </si>
  <si>
    <t>Society__KP_Defaults.MARITAL.Relationship_Parameters.Condom_Usage_Probability.Rate</t>
  </si>
  <si>
    <t>Society__KP_Defaults.MARITAL.Relationship_Parameters.Condom_Usage_Probability.Mid</t>
  </si>
  <si>
    <t>Society__KP_Defaults.MARITAL.Relationship_Parameters.Condom_Usage_Probability.Max</t>
  </si>
  <si>
    <t>Society__KP_Defaults.TRANSITORY.Relationship_Parameters.Condom_Usage_Probability.Max</t>
  </si>
  <si>
    <t>Society__KP_Defaults.INFORMAL.Relationship_Parameters.Condom_Usage_Probability.Max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</si>
  <si>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</si>
  <si>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</si>
  <si>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</si>
  <si>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</si>
  <si>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</si>
  <si>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Society__KP_Defaults_All_Nodes.INFORMAL.Concurrency_Parameters.MEDIUM.Prob_Extra_Relationship_Male</t>
  </si>
  <si>
    <t>Society__KP_Defaults_All_Nodes.INFORMAL.Concurrency_Parameters.LOW.Prob_Extra_Relationship_Female</t>
  </si>
  <si>
    <t>Society__KP_Defaults_All_Nodes.INFORMAL.Concurrency_Parameters.MEDIUM.Prob_Extra_Relationship_Female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</si>
  <si>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</si>
  <si>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</si>
  <si>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</si>
  <si>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</si>
  <si>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</si>
  <si>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</si>
  <si>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</si>
  <si>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</si>
  <si>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</si>
  <si>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</si>
  <si>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Actual_IndividualIntervention_Config__KP_HCTUptakePostDebut.Ramp_Max</t>
  </si>
  <si>
    <t>Actual_IndividualIntervention_Config__KP_HCTUptakePostDebut.Ramp_MidYear</t>
  </si>
  <si>
    <t>Start_Year__KP_Seeding_Year</t>
  </si>
  <si>
    <t>Demographic_Coverage__KP_Seeding</t>
  </si>
  <si>
    <t>Prevalence</t>
  </si>
  <si>
    <t>OnART</t>
  </si>
  <si>
    <t>Incidence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</si>
  <si>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</si>
  <si>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</si>
  <si>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</si>
  <si>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</si>
  <si>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</si>
  <si>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</si>
  <si>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</si>
  <si>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weight may be blank, internal default is 1.0</t>
  </si>
  <si>
    <t>Province</t>
  </si>
  <si>
    <t>Gender</t>
  </si>
  <si>
    <t>AgeBin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</si>
  <si>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</si>
  <si>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</si>
  <si>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</si>
  <si>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</si>
  <si>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</si>
  <si>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</si>
  <si>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</si>
  <si>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</si>
  <si>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[0:5)</t>
  </si>
  <si>
    <t>[5:10)</t>
  </si>
  <si>
    <t>[10:15)</t>
  </si>
  <si>
    <t>[50:55)</t>
  </si>
  <si>
    <t>[55:60)</t>
  </si>
  <si>
    <t>[60:65)</t>
  </si>
  <si>
    <t>[15:100)</t>
  </si>
  <si>
    <t>[65:70)</t>
  </si>
  <si>
    <t>[70:75)</t>
  </si>
  <si>
    <t>[75:80)</t>
  </si>
  <si>
    <t>[80:85)</t>
  </si>
  <si>
    <t>[85:90)</t>
  </si>
  <si>
    <t>[90:95)</t>
  </si>
  <si>
    <t>[15:25)</t>
  </si>
  <si>
    <t>[25:35)</t>
  </si>
  <si>
    <t>[35:50)</t>
  </si>
  <si>
    <t>Data are from the ZWE MOH, shared by Ngwarai Sithole</t>
  </si>
  <si>
    <t>[0,5)</t>
  </si>
  <si>
    <t>[10,15)</t>
  </si>
  <si>
    <t>[15,20)</t>
  </si>
  <si>
    <t>[20,25)</t>
  </si>
  <si>
    <t>[25,50)</t>
  </si>
  <si>
    <t>[5,10)</t>
  </si>
  <si>
    <t>[50,99)</t>
  </si>
  <si>
    <t>From MIHPSA:</t>
  </si>
  <si>
    <t>Adults</t>
  </si>
  <si>
    <t>Children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</si>
</sst>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4" fillId="0" borderId="0" xfId="0" applyFont="1" applyProtection="1"/>
    <xf numFmtId="0" fontId="5" fillId="0" borderId="0" xfId="0" applyFont="1" applyProtection="1"/>
    <xf numFmtId="1" fontId="5" fillId="0" borderId="0" xfId="0" applyNumberFormat="1" applyFont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5361" name="Entry grid creation butto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6385" name="Entry grid creation butto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3320312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">
      <c r="A12" s="3" t="s">
        <v>36</v>
      </c>
      <c r="B12" s="3">
        <f>COUNTIF('Model Parameters'!B2:B101, TRUE)</f>
        <v>39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13" sqref="B13"/>
    </sheetView>
  </sheetViews>
  <sheetFormatPr baseColWidth="10" defaultColWidth="8.83203125" defaultRowHeight="15" x14ac:dyDescent="0.2"/>
  <cols>
    <col min="1" max="1" width="12.33203125" bestFit="1" customWidth="1"/>
    <col min="2" max="2" width="16.33203125" customWidth="1"/>
  </cols>
  <sheetData>
    <row r="1" spans="1:13" x14ac:dyDescent="0.2">
      <c r="A1" s="16" t="s">
        <v>90</v>
      </c>
    </row>
    <row r="2" spans="1:13" x14ac:dyDescent="0.2">
      <c r="A2" s="16" t="s">
        <v>92</v>
      </c>
    </row>
    <row r="3" spans="1:13" x14ac:dyDescent="0.2">
      <c r="A3" s="16" t="s">
        <v>94</v>
      </c>
    </row>
    <row r="4" spans="1:13" x14ac:dyDescent="0.2">
      <c r="A4" s="16" t="s">
        <v>91</v>
      </c>
    </row>
    <row r="5" spans="1:13" x14ac:dyDescent="0.2">
      <c r="A5" s="16" t="s">
        <v>99</v>
      </c>
    </row>
    <row r="6" spans="1:13" x14ac:dyDescent="0.2">
      <c r="A6" s="16"/>
    </row>
    <row r="7" spans="1:13" x14ac:dyDescent="0.2">
      <c r="A7" s="11" t="s">
        <v>93</v>
      </c>
      <c r="B7" s="5" t="s">
        <v>100</v>
      </c>
    </row>
    <row r="8" spans="1:13" x14ac:dyDescent="0.2">
      <c r="A8" s="9" t="s">
        <v>85</v>
      </c>
      <c r="B8" s="6">
        <v>7953003</v>
      </c>
    </row>
    <row r="9" spans="1:13" x14ac:dyDescent="0.2">
      <c r="A9" s="9" t="s">
        <v>86</v>
      </c>
      <c r="B9" s="7">
        <v>2015</v>
      </c>
    </row>
    <row r="10" spans="1:13" x14ac:dyDescent="0.2">
      <c r="A10" s="9" t="s">
        <v>87</v>
      </c>
      <c r="B10" s="6" t="s">
        <v>101</v>
      </c>
    </row>
    <row r="11" spans="1:13" x14ac:dyDescent="0.2">
      <c r="A11" s="9" t="s">
        <v>88</v>
      </c>
      <c r="B11" s="7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">
      <c r="A12" s="9" t="s">
        <v>89</v>
      </c>
      <c r="B12" s="4" t="s">
        <v>100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D41" sqref="D41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6640625" bestFit="1" customWidth="1"/>
  </cols>
  <sheetData>
    <row r="1" spans="1:7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">
      <c r="A2" s="4" t="s">
        <v>102</v>
      </c>
      <c r="B2" s="5" t="b">
        <v>1</v>
      </c>
      <c r="C2" s="4">
        <v>2E-3</v>
      </c>
      <c r="D2" s="5">
        <v>1.6700000000000003E-3</v>
      </c>
      <c r="E2" s="4">
        <v>4.830000000000001E-3</v>
      </c>
      <c r="F2" s="5" t="s">
        <v>141</v>
      </c>
      <c r="G2" s="16"/>
    </row>
    <row r="3" spans="1:7" x14ac:dyDescent="0.2">
      <c r="A3" s="4" t="s">
        <v>103</v>
      </c>
      <c r="B3" s="5" t="b">
        <v>1</v>
      </c>
      <c r="C3" s="4">
        <v>1.0342639119929301E-3</v>
      </c>
      <c r="D3" s="5">
        <v>1.36986301369863E-4</v>
      </c>
      <c r="E3" s="4">
        <v>2.7397260273972599E-3</v>
      </c>
      <c r="F3" s="5" t="s">
        <v>142</v>
      </c>
    </row>
    <row r="4" spans="1:7" x14ac:dyDescent="0.2">
      <c r="A4" s="4" t="s">
        <v>104</v>
      </c>
      <c r="B4" s="5" t="b">
        <v>1</v>
      </c>
      <c r="C4" s="4">
        <v>8.2354436003016101E-4</v>
      </c>
      <c r="D4" s="5">
        <v>9.1324200913241998E-5</v>
      </c>
      <c r="E4" s="4">
        <v>2.7397260273972499E-3</v>
      </c>
      <c r="F4" s="5" t="s">
        <v>143</v>
      </c>
    </row>
    <row r="5" spans="1:7" x14ac:dyDescent="0.2">
      <c r="A5" s="4" t="s">
        <v>105</v>
      </c>
      <c r="B5" s="5" t="b">
        <v>1</v>
      </c>
      <c r="C5" s="4">
        <v>9.2765437660219301E-5</v>
      </c>
      <c r="D5" s="5">
        <v>5.47945205479452E-5</v>
      </c>
      <c r="E5" s="4">
        <v>2.7397260273972601E-4</v>
      </c>
      <c r="F5" s="5" t="s">
        <v>144</v>
      </c>
    </row>
    <row r="6" spans="1:7" x14ac:dyDescent="0.2">
      <c r="A6" s="4" t="s">
        <v>106</v>
      </c>
      <c r="B6" s="5" t="b">
        <v>1</v>
      </c>
      <c r="C6" s="4">
        <v>2.1202282879885099</v>
      </c>
      <c r="D6" s="5">
        <v>1</v>
      </c>
      <c r="E6" s="4">
        <v>4</v>
      </c>
      <c r="F6" s="5"/>
      <c r="G6" s="16"/>
    </row>
    <row r="7" spans="1:7" x14ac:dyDescent="0.2">
      <c r="A7" s="4" t="s">
        <v>107</v>
      </c>
      <c r="B7" s="5" t="b">
        <v>1</v>
      </c>
      <c r="C7" s="4">
        <v>1.3871507216041301</v>
      </c>
      <c r="D7" s="5">
        <v>1</v>
      </c>
      <c r="E7" s="4">
        <v>4</v>
      </c>
      <c r="F7" s="5"/>
      <c r="G7" s="16"/>
    </row>
    <row r="8" spans="1:7" x14ac:dyDescent="0.2">
      <c r="A8" s="4" t="s">
        <v>108</v>
      </c>
      <c r="B8" s="5" t="b">
        <v>1</v>
      </c>
      <c r="C8" s="4">
        <v>1997.06024477299</v>
      </c>
      <c r="D8" s="5">
        <v>1990</v>
      </c>
      <c r="E8" s="4">
        <v>2010</v>
      </c>
      <c r="F8" s="5" t="s">
        <v>145</v>
      </c>
      <c r="G8" s="16"/>
    </row>
    <row r="9" spans="1:7" x14ac:dyDescent="0.2">
      <c r="A9" s="4" t="s">
        <v>109</v>
      </c>
      <c r="B9" s="5" t="b">
        <v>1</v>
      </c>
      <c r="C9" s="4">
        <v>2.9547677193706798</v>
      </c>
      <c r="D9" s="5">
        <v>0</v>
      </c>
      <c r="E9" s="4">
        <v>4</v>
      </c>
      <c r="F9" s="5" t="s">
        <v>146</v>
      </c>
      <c r="G9" s="17"/>
    </row>
    <row r="10" spans="1:7" x14ac:dyDescent="0.2">
      <c r="A10" s="4" t="s">
        <v>110</v>
      </c>
      <c r="B10" s="5" t="b">
        <v>1</v>
      </c>
      <c r="C10" s="22">
        <v>1999.9412298157599</v>
      </c>
      <c r="D10" s="21">
        <v>1990</v>
      </c>
      <c r="E10" s="4">
        <v>2010</v>
      </c>
      <c r="F10" s="5" t="s">
        <v>147</v>
      </c>
    </row>
    <row r="11" spans="1:7" x14ac:dyDescent="0.2">
      <c r="A11" s="4" t="s">
        <v>111</v>
      </c>
      <c r="B11" s="5" t="b">
        <v>1</v>
      </c>
      <c r="C11" s="22">
        <v>2.89767908853407</v>
      </c>
      <c r="D11" s="21">
        <v>0</v>
      </c>
      <c r="E11" s="4">
        <v>4</v>
      </c>
      <c r="F11" s="5" t="s">
        <v>148</v>
      </c>
    </row>
    <row r="12" spans="1:7" x14ac:dyDescent="0.2">
      <c r="A12" s="4" t="s">
        <v>112</v>
      </c>
      <c r="B12" s="5" t="b">
        <v>1</v>
      </c>
      <c r="C12" s="4">
        <v>2.5970096012713499</v>
      </c>
      <c r="D12" s="5">
        <v>0</v>
      </c>
      <c r="E12" s="4">
        <v>4</v>
      </c>
      <c r="F12" s="5" t="s">
        <v>149</v>
      </c>
    </row>
    <row r="13" spans="1:7" x14ac:dyDescent="0.2">
      <c r="A13" s="4" t="s">
        <v>113</v>
      </c>
      <c r="B13" s="5" t="b">
        <v>1</v>
      </c>
      <c r="C13" s="4">
        <v>1999.22282136331</v>
      </c>
      <c r="D13" s="5">
        <v>1990</v>
      </c>
      <c r="E13" s="4">
        <v>2010</v>
      </c>
      <c r="F13" s="5" t="s">
        <v>150</v>
      </c>
    </row>
    <row r="14" spans="1:7" x14ac:dyDescent="0.2">
      <c r="A14" s="4" t="s">
        <v>114</v>
      </c>
      <c r="B14" s="5" t="b">
        <v>1</v>
      </c>
      <c r="C14" s="4">
        <v>0.15</v>
      </c>
      <c r="D14" s="5">
        <v>0</v>
      </c>
      <c r="E14" s="4">
        <v>0.4</v>
      </c>
      <c r="F14" s="5" t="s">
        <v>151</v>
      </c>
    </row>
    <row r="15" spans="1:7" x14ac:dyDescent="0.2">
      <c r="A15" s="4" t="s">
        <v>115</v>
      </c>
      <c r="B15" s="5" t="b">
        <v>1</v>
      </c>
      <c r="C15" s="4">
        <v>0.25</v>
      </c>
      <c r="D15" s="5">
        <v>0</v>
      </c>
      <c r="E15" s="4">
        <v>0.5</v>
      </c>
      <c r="F15" s="5" t="s">
        <v>152</v>
      </c>
    </row>
    <row r="16" spans="1:7" x14ac:dyDescent="0.2">
      <c r="A16" s="4" t="s">
        <v>116</v>
      </c>
      <c r="B16" s="5" t="b">
        <v>1</v>
      </c>
      <c r="C16" s="4">
        <v>0.3</v>
      </c>
      <c r="D16" s="5">
        <v>0</v>
      </c>
      <c r="E16" s="4">
        <v>0.4</v>
      </c>
      <c r="F16" s="5" t="s">
        <v>153</v>
      </c>
    </row>
    <row r="17" spans="1:6" x14ac:dyDescent="0.2">
      <c r="A17" s="4" t="s">
        <v>117</v>
      </c>
      <c r="B17" s="5" t="b">
        <v>1</v>
      </c>
      <c r="C17" s="4">
        <v>0.60797748266033602</v>
      </c>
      <c r="D17" s="5">
        <v>0.5</v>
      </c>
      <c r="E17" s="4">
        <v>0.95</v>
      </c>
      <c r="F17" s="5"/>
    </row>
    <row r="18" spans="1:6" x14ac:dyDescent="0.2">
      <c r="A18" s="4" t="s">
        <v>118</v>
      </c>
      <c r="B18" s="5" t="b">
        <v>1</v>
      </c>
      <c r="C18" s="4">
        <v>0.7</v>
      </c>
      <c r="D18" s="5">
        <v>0.5</v>
      </c>
      <c r="E18" s="4">
        <v>0.9</v>
      </c>
      <c r="F18" s="5"/>
    </row>
    <row r="19" spans="1:6" x14ac:dyDescent="0.2">
      <c r="A19" s="4" t="s">
        <v>119</v>
      </c>
      <c r="B19" s="5" t="b">
        <v>1</v>
      </c>
      <c r="C19" s="4">
        <v>0.29602411363505998</v>
      </c>
      <c r="D19" s="5">
        <v>0</v>
      </c>
      <c r="E19" s="4">
        <v>0.5</v>
      </c>
      <c r="F19" s="5" t="s">
        <v>154</v>
      </c>
    </row>
    <row r="20" spans="1:6" x14ac:dyDescent="0.2">
      <c r="A20" s="4" t="s">
        <v>120</v>
      </c>
      <c r="B20" s="5" t="b">
        <v>1</v>
      </c>
      <c r="C20" s="4">
        <v>0.75186543741691503</v>
      </c>
      <c r="D20" s="5">
        <v>0</v>
      </c>
      <c r="E20" s="4">
        <v>0.8</v>
      </c>
      <c r="F20" s="5" t="s">
        <v>155</v>
      </c>
    </row>
    <row r="21" spans="1:6" x14ac:dyDescent="0.2">
      <c r="A21" s="4" t="s">
        <v>121</v>
      </c>
      <c r="B21" s="5" t="b">
        <v>1</v>
      </c>
      <c r="C21" s="4">
        <v>0.110705275672901</v>
      </c>
      <c r="D21" s="5">
        <v>0</v>
      </c>
      <c r="E21" s="4">
        <v>0.25</v>
      </c>
      <c r="F21" s="5" t="s">
        <v>156</v>
      </c>
    </row>
    <row r="22" spans="1:6" x14ac:dyDescent="0.2">
      <c r="A22" s="4" t="s">
        <v>122</v>
      </c>
      <c r="B22" s="5" t="b">
        <v>1</v>
      </c>
      <c r="C22" s="4">
        <v>0.74870745810037598</v>
      </c>
      <c r="D22" s="5">
        <v>0</v>
      </c>
      <c r="E22" s="4">
        <v>0.8</v>
      </c>
      <c r="F22" s="5" t="s">
        <v>157</v>
      </c>
    </row>
    <row r="23" spans="1:6" x14ac:dyDescent="0.2">
      <c r="A23" s="4" t="s">
        <v>123</v>
      </c>
      <c r="B23" s="5" t="b">
        <v>1</v>
      </c>
      <c r="C23" s="4">
        <v>0.56473058734970305</v>
      </c>
      <c r="D23" s="5">
        <v>0</v>
      </c>
      <c r="E23" s="4">
        <v>0.6</v>
      </c>
      <c r="F23" s="5" t="s">
        <v>158</v>
      </c>
    </row>
    <row r="24" spans="1:6" x14ac:dyDescent="0.2">
      <c r="A24" s="4" t="s">
        <v>124</v>
      </c>
      <c r="B24" s="5" t="b">
        <v>1</v>
      </c>
      <c r="C24" s="4">
        <v>0.34346997406633401</v>
      </c>
      <c r="D24" s="5">
        <v>0</v>
      </c>
      <c r="E24" s="4">
        <v>0.5</v>
      </c>
      <c r="F24" s="5" t="s">
        <v>159</v>
      </c>
    </row>
    <row r="25" spans="1:6" x14ac:dyDescent="0.2">
      <c r="A25" s="4" t="s">
        <v>125</v>
      </c>
      <c r="B25" s="5" t="b">
        <v>1</v>
      </c>
      <c r="C25" s="4">
        <v>0.34346997406633401</v>
      </c>
      <c r="D25" s="5">
        <v>0</v>
      </c>
      <c r="E25" s="4">
        <v>0.5</v>
      </c>
      <c r="F25" s="5" t="s">
        <v>160</v>
      </c>
    </row>
    <row r="26" spans="1:6" x14ac:dyDescent="0.2">
      <c r="A26" s="4" t="s">
        <v>126</v>
      </c>
      <c r="B26" s="5" t="b">
        <v>1</v>
      </c>
      <c r="C26" s="4">
        <v>0.40814703273896302</v>
      </c>
      <c r="D26" s="5">
        <v>0</v>
      </c>
      <c r="E26" s="4">
        <v>0.5</v>
      </c>
      <c r="F26" s="5" t="s">
        <v>161</v>
      </c>
    </row>
    <row r="27" spans="1:6" x14ac:dyDescent="0.2">
      <c r="A27" s="4" t="s">
        <v>127</v>
      </c>
      <c r="B27" s="5" t="b">
        <v>1</v>
      </c>
      <c r="C27" s="4">
        <v>1.95917620565913</v>
      </c>
      <c r="D27" s="5">
        <v>0.9</v>
      </c>
      <c r="E27" s="4">
        <v>2</v>
      </c>
      <c r="F27" s="5" t="s">
        <v>162</v>
      </c>
    </row>
    <row r="28" spans="1:6" x14ac:dyDescent="0.2">
      <c r="A28" s="4" t="s">
        <v>128</v>
      </c>
      <c r="B28" s="5" t="b">
        <v>1</v>
      </c>
      <c r="C28" s="4">
        <v>1.95917620565913</v>
      </c>
      <c r="D28" s="5">
        <v>0.9</v>
      </c>
      <c r="E28" s="4">
        <v>2</v>
      </c>
      <c r="F28" s="5" t="s">
        <v>163</v>
      </c>
    </row>
    <row r="29" spans="1:6" x14ac:dyDescent="0.2">
      <c r="A29" s="4" t="s">
        <v>129</v>
      </c>
      <c r="B29" s="5" t="b">
        <v>1</v>
      </c>
      <c r="C29" s="4">
        <v>1.40784274518667</v>
      </c>
      <c r="D29" s="5">
        <v>0.9</v>
      </c>
      <c r="E29" s="4">
        <v>2</v>
      </c>
      <c r="F29" s="5" t="s">
        <v>164</v>
      </c>
    </row>
    <row r="30" spans="1:6" x14ac:dyDescent="0.2">
      <c r="A30" s="4" t="s">
        <v>130</v>
      </c>
      <c r="B30" s="5" t="b">
        <v>1</v>
      </c>
      <c r="C30" s="4">
        <v>1.40784274518667</v>
      </c>
      <c r="D30" s="5">
        <v>0.9</v>
      </c>
      <c r="E30" s="4">
        <v>2</v>
      </c>
      <c r="F30" s="5" t="s">
        <v>165</v>
      </c>
    </row>
    <row r="31" spans="1:6" x14ac:dyDescent="0.2">
      <c r="A31" s="4" t="s">
        <v>131</v>
      </c>
      <c r="B31" s="5" t="b">
        <v>1</v>
      </c>
      <c r="C31" s="4">
        <v>3</v>
      </c>
      <c r="D31" s="5">
        <v>0.9</v>
      </c>
      <c r="E31" s="4">
        <v>4</v>
      </c>
      <c r="F31" s="5" t="s">
        <v>166</v>
      </c>
    </row>
    <row r="32" spans="1:6" x14ac:dyDescent="0.2">
      <c r="A32" s="4" t="s">
        <v>132</v>
      </c>
      <c r="B32" s="5" t="b">
        <v>1</v>
      </c>
      <c r="C32" s="4">
        <v>3</v>
      </c>
      <c r="D32" s="5">
        <v>0.9</v>
      </c>
      <c r="E32" s="4">
        <v>4</v>
      </c>
      <c r="F32" s="5" t="s">
        <v>167</v>
      </c>
    </row>
    <row r="33" spans="1:6" x14ac:dyDescent="0.2">
      <c r="A33" s="4" t="s">
        <v>133</v>
      </c>
      <c r="B33" s="5" t="b">
        <v>1</v>
      </c>
      <c r="C33" s="4">
        <v>3</v>
      </c>
      <c r="D33" s="5">
        <v>0.9</v>
      </c>
      <c r="E33" s="4">
        <v>4</v>
      </c>
      <c r="F33" s="5" t="s">
        <v>168</v>
      </c>
    </row>
    <row r="34" spans="1:6" x14ac:dyDescent="0.2">
      <c r="A34" s="4" t="s">
        <v>134</v>
      </c>
      <c r="B34" s="5" t="b">
        <v>1</v>
      </c>
      <c r="C34" s="4">
        <v>3</v>
      </c>
      <c r="D34" s="5">
        <v>0.9</v>
      </c>
      <c r="E34" s="4">
        <v>4</v>
      </c>
      <c r="F34" s="5" t="s">
        <v>169</v>
      </c>
    </row>
    <row r="35" spans="1:6" x14ac:dyDescent="0.2">
      <c r="A35" s="4" t="s">
        <v>135</v>
      </c>
      <c r="B35" s="5" t="b">
        <v>1</v>
      </c>
      <c r="C35" s="4">
        <v>1.0982180704963</v>
      </c>
      <c r="D35" s="5">
        <v>0.9</v>
      </c>
      <c r="E35" s="4">
        <v>2</v>
      </c>
      <c r="F35" s="5" t="s">
        <v>170</v>
      </c>
    </row>
    <row r="36" spans="1:6" x14ac:dyDescent="0.2">
      <c r="A36" s="4" t="s">
        <v>136</v>
      </c>
      <c r="B36" s="5" t="b">
        <v>1</v>
      </c>
      <c r="C36" s="4">
        <v>1.0982180704963</v>
      </c>
      <c r="D36" s="5">
        <v>0.9</v>
      </c>
      <c r="E36" s="4">
        <v>2</v>
      </c>
      <c r="F36" s="5" t="s">
        <v>171</v>
      </c>
    </row>
    <row r="37" spans="1:6" x14ac:dyDescent="0.2">
      <c r="A37" s="4" t="s">
        <v>137</v>
      </c>
      <c r="B37" s="5" t="b">
        <v>1</v>
      </c>
      <c r="C37" s="4">
        <v>0.33381625695871803</v>
      </c>
      <c r="D37" s="5">
        <v>0</v>
      </c>
      <c r="E37" s="4">
        <v>0.5</v>
      </c>
      <c r="F37" s="5" t="s">
        <v>172</v>
      </c>
    </row>
    <row r="38" spans="1:6" x14ac:dyDescent="0.2">
      <c r="A38" s="4" t="s">
        <v>138</v>
      </c>
      <c r="B38" s="5" t="b">
        <v>1</v>
      </c>
      <c r="C38" s="4">
        <v>2006.4119083083499</v>
      </c>
      <c r="D38" s="5">
        <v>1995</v>
      </c>
      <c r="E38" s="4">
        <v>2015</v>
      </c>
      <c r="F38" s="5" t="s">
        <v>173</v>
      </c>
    </row>
    <row r="39" spans="1:6" x14ac:dyDescent="0.2">
      <c r="A39" s="4" t="s">
        <v>139</v>
      </c>
      <c r="B39" s="5" t="b">
        <v>1</v>
      </c>
      <c r="C39" s="4">
        <v>1985</v>
      </c>
      <c r="D39" s="5">
        <v>1970</v>
      </c>
      <c r="E39" s="4">
        <v>1993</v>
      </c>
      <c r="F39" s="5" t="s">
        <v>174</v>
      </c>
    </row>
    <row r="40" spans="1:6" x14ac:dyDescent="0.2">
      <c r="A40" s="4" t="s">
        <v>140</v>
      </c>
      <c r="B40" s="5" t="b">
        <v>1</v>
      </c>
      <c r="C40" s="4">
        <v>0.2</v>
      </c>
      <c r="D40" s="5">
        <v>0.1</v>
      </c>
      <c r="E40" s="4">
        <v>0.35</v>
      </c>
      <c r="F40" s="5" t="s">
        <v>175</v>
      </c>
    </row>
    <row r="41" spans="1:6" x14ac:dyDescent="0.2">
      <c r="A41" s="4"/>
      <c r="B41" s="5" t="s">
        <v>12</v>
      </c>
      <c r="C41" s="4"/>
      <c r="D41" s="5"/>
      <c r="E41" s="4"/>
      <c r="F41" s="5"/>
    </row>
    <row r="42" spans="1:6" x14ac:dyDescent="0.2">
      <c r="A42" s="4"/>
      <c r="B42" s="5" t="s">
        <v>12</v>
      </c>
      <c r="C42" s="4"/>
      <c r="D42" s="5"/>
      <c r="E42" s="4"/>
      <c r="F42" s="5"/>
    </row>
    <row r="43" spans="1:6" x14ac:dyDescent="0.2">
      <c r="A43" s="4"/>
      <c r="B43" s="5" t="s">
        <v>12</v>
      </c>
      <c r="C43" s="4"/>
      <c r="D43" s="5"/>
      <c r="E43" s="4"/>
      <c r="F43" s="5"/>
    </row>
    <row r="44" spans="1:6" x14ac:dyDescent="0.2">
      <c r="A44" s="4"/>
      <c r="B44" s="5" t="s">
        <v>12</v>
      </c>
      <c r="C44" s="4"/>
      <c r="D44" s="5"/>
      <c r="E44" s="4"/>
      <c r="F44" s="5"/>
    </row>
    <row r="45" spans="1:6" x14ac:dyDescent="0.2">
      <c r="A45" s="4"/>
      <c r="B45" s="5" t="s">
        <v>12</v>
      </c>
      <c r="C45" s="4"/>
      <c r="D45" s="5"/>
      <c r="E45" s="4"/>
      <c r="F45" s="5"/>
    </row>
    <row r="46" spans="1:6" x14ac:dyDescent="0.2">
      <c r="A46" s="4"/>
      <c r="B46" s="5" t="s">
        <v>12</v>
      </c>
      <c r="C46" s="4"/>
      <c r="D46" s="5"/>
      <c r="E46" s="4"/>
      <c r="F46" s="5"/>
    </row>
    <row r="47" spans="1:6" x14ac:dyDescent="0.2">
      <c r="A47" s="4"/>
      <c r="B47" s="5" t="s">
        <v>12</v>
      </c>
      <c r="C47" s="4"/>
      <c r="D47" s="5"/>
      <c r="E47" s="4"/>
      <c r="F47" s="5"/>
    </row>
    <row r="48" spans="1:6" x14ac:dyDescent="0.2">
      <c r="A48" s="4"/>
      <c r="B48" s="5" t="s">
        <v>12</v>
      </c>
      <c r="C48" s="4"/>
      <c r="D48" s="5"/>
      <c r="E48" s="4"/>
      <c r="F48" s="5"/>
    </row>
    <row r="49" spans="1:6" x14ac:dyDescent="0.2">
      <c r="A49" s="4"/>
      <c r="B49" s="5" t="s">
        <v>12</v>
      </c>
      <c r="C49" s="4"/>
      <c r="D49" s="5"/>
      <c r="E49" s="4"/>
      <c r="F49" s="5"/>
    </row>
    <row r="50" spans="1:6" x14ac:dyDescent="0.2">
      <c r="A50" s="4"/>
      <c r="B50" s="5" t="s">
        <v>12</v>
      </c>
      <c r="C50" s="4"/>
      <c r="D50" s="5"/>
      <c r="E50" s="4"/>
      <c r="F50" s="5"/>
    </row>
    <row r="51" spans="1:6" x14ac:dyDescent="0.2">
      <c r="A51" s="4"/>
      <c r="B51" s="5" t="s">
        <v>12</v>
      </c>
      <c r="C51" s="4"/>
      <c r="D51" s="5"/>
      <c r="E51" s="4"/>
      <c r="F51" s="5"/>
    </row>
    <row r="52" spans="1:6" x14ac:dyDescent="0.2">
      <c r="A52" s="4"/>
      <c r="B52" s="5" t="s">
        <v>12</v>
      </c>
      <c r="C52" s="4"/>
      <c r="D52" s="5"/>
      <c r="E52" s="4"/>
      <c r="F52" s="5"/>
    </row>
    <row r="53" spans="1:6" x14ac:dyDescent="0.2">
      <c r="A53" s="4"/>
      <c r="B53" s="5" t="s">
        <v>12</v>
      </c>
      <c r="C53" s="4"/>
      <c r="D53" s="5"/>
      <c r="E53" s="4"/>
      <c r="F53" s="5"/>
    </row>
    <row r="54" spans="1:6" x14ac:dyDescent="0.2">
      <c r="A54" s="4"/>
      <c r="B54" s="5" t="s">
        <v>12</v>
      </c>
      <c r="C54" s="4"/>
      <c r="D54" s="5"/>
      <c r="E54" s="4"/>
      <c r="F54" s="5"/>
    </row>
    <row r="55" spans="1:6" x14ac:dyDescent="0.2">
      <c r="A55" s="4"/>
      <c r="B55" s="5" t="s">
        <v>12</v>
      </c>
      <c r="C55" s="4"/>
      <c r="D55" s="5"/>
      <c r="E55" s="4"/>
      <c r="F55" s="5"/>
    </row>
    <row r="56" spans="1:6" x14ac:dyDescent="0.2">
      <c r="A56" s="4"/>
      <c r="B56" s="5" t="s">
        <v>12</v>
      </c>
      <c r="C56" s="4"/>
      <c r="D56" s="5"/>
      <c r="E56" s="4"/>
      <c r="F56" s="5"/>
    </row>
    <row r="57" spans="1:6" x14ac:dyDescent="0.2">
      <c r="A57" s="4"/>
      <c r="B57" s="5" t="s">
        <v>12</v>
      </c>
      <c r="C57" s="4"/>
      <c r="D57" s="5"/>
      <c r="E57" s="4"/>
      <c r="F57" s="5"/>
    </row>
    <row r="58" spans="1:6" x14ac:dyDescent="0.2">
      <c r="A58" s="4"/>
      <c r="B58" s="5" t="s">
        <v>12</v>
      </c>
      <c r="C58" s="4"/>
      <c r="D58" s="5"/>
      <c r="E58" s="4"/>
      <c r="F58" s="5"/>
    </row>
    <row r="59" spans="1:6" x14ac:dyDescent="0.2">
      <c r="A59" s="4"/>
      <c r="B59" s="5" t="s">
        <v>12</v>
      </c>
      <c r="C59" s="4"/>
      <c r="D59" s="5"/>
      <c r="E59" s="4"/>
      <c r="F59" s="5"/>
    </row>
    <row r="60" spans="1:6" x14ac:dyDescent="0.2">
      <c r="A60" s="4"/>
      <c r="B60" s="5" t="s">
        <v>12</v>
      </c>
      <c r="C60" s="4"/>
      <c r="D60" s="5"/>
      <c r="E60" s="4"/>
      <c r="F60" s="5"/>
    </row>
    <row r="61" spans="1:6" x14ac:dyDescent="0.2">
      <c r="A61" s="4"/>
      <c r="B61" s="5" t="s">
        <v>12</v>
      </c>
      <c r="C61" s="4"/>
      <c r="D61" s="5"/>
      <c r="E61" s="4"/>
      <c r="F61" s="5"/>
    </row>
    <row r="62" spans="1:6" x14ac:dyDescent="0.2">
      <c r="A62" s="4"/>
      <c r="B62" s="5" t="s">
        <v>12</v>
      </c>
      <c r="C62" s="4"/>
      <c r="D62" s="5"/>
      <c r="E62" s="4"/>
      <c r="F62" s="5"/>
    </row>
    <row r="63" spans="1:6" x14ac:dyDescent="0.2">
      <c r="A63" s="4"/>
      <c r="B63" s="5" t="s">
        <v>12</v>
      </c>
      <c r="C63" s="4"/>
      <c r="D63" s="5"/>
      <c r="E63" s="4"/>
      <c r="F63" s="5"/>
    </row>
    <row r="64" spans="1:6" x14ac:dyDescent="0.2">
      <c r="A64" s="4"/>
      <c r="B64" s="5" t="s">
        <v>12</v>
      </c>
      <c r="C64" s="4"/>
      <c r="D64" s="5"/>
      <c r="E64" s="4"/>
      <c r="F64" s="5"/>
    </row>
    <row r="65" spans="1:6" x14ac:dyDescent="0.2">
      <c r="A65" s="4"/>
      <c r="B65" s="5" t="s">
        <v>12</v>
      </c>
      <c r="C65" s="4"/>
      <c r="D65" s="5"/>
      <c r="E65" s="4"/>
      <c r="F65" s="5"/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  <row r="71" spans="1:6" x14ac:dyDescent="0.2">
      <c r="A71" s="4"/>
      <c r="B71" s="5" t="s">
        <v>12</v>
      </c>
      <c r="C71" s="4"/>
      <c r="D71" s="5"/>
      <c r="E71" s="4"/>
      <c r="F71" s="5"/>
    </row>
    <row r="72" spans="1:6" x14ac:dyDescent="0.2">
      <c r="A72" s="4"/>
      <c r="B72" s="5" t="s">
        <v>12</v>
      </c>
      <c r="C72" s="4"/>
      <c r="D72" s="5"/>
      <c r="E72" s="4"/>
      <c r="F72" s="5"/>
    </row>
    <row r="73" spans="1:6" x14ac:dyDescent="0.2">
      <c r="A73" s="4"/>
      <c r="B73" s="5" t="s">
        <v>12</v>
      </c>
      <c r="C73" s="4"/>
      <c r="D73" s="5"/>
      <c r="E73" s="4"/>
      <c r="F73" s="5"/>
    </row>
    <row r="74" spans="1:6" x14ac:dyDescent="0.2">
      <c r="A74" s="4"/>
      <c r="B74" s="5" t="s">
        <v>12</v>
      </c>
      <c r="C74" s="4"/>
      <c r="D74" s="5"/>
      <c r="E74" s="4"/>
      <c r="F74" s="5"/>
    </row>
    <row r="75" spans="1:6" x14ac:dyDescent="0.2">
      <c r="A75" s="4"/>
      <c r="B75" s="5" t="s">
        <v>12</v>
      </c>
      <c r="C75" s="4"/>
      <c r="D75" s="5"/>
      <c r="E75" s="4"/>
      <c r="F75" s="5"/>
    </row>
    <row r="76" spans="1:6" x14ac:dyDescent="0.2">
      <c r="A76" s="4"/>
      <c r="B76" s="5" t="s">
        <v>12</v>
      </c>
      <c r="C76" s="4"/>
      <c r="D76" s="5"/>
      <c r="E76" s="4"/>
      <c r="F76" s="5"/>
    </row>
    <row r="77" spans="1:6" x14ac:dyDescent="0.2">
      <c r="A77" s="4"/>
      <c r="B77" s="5" t="s">
        <v>12</v>
      </c>
      <c r="C77" s="4"/>
      <c r="D77" s="5"/>
      <c r="E77" s="4"/>
      <c r="F77" s="5"/>
    </row>
    <row r="78" spans="1:6" x14ac:dyDescent="0.2">
      <c r="A78" s="4"/>
      <c r="B78" s="5" t="s">
        <v>12</v>
      </c>
      <c r="C78" s="4"/>
      <c r="D78" s="5"/>
      <c r="E78" s="4"/>
      <c r="F78" s="5"/>
    </row>
    <row r="79" spans="1:6" x14ac:dyDescent="0.2">
      <c r="A79" s="4"/>
      <c r="B79" s="5" t="s">
        <v>12</v>
      </c>
      <c r="C79" s="4"/>
      <c r="D79" s="5"/>
      <c r="E79" s="4"/>
      <c r="F79" s="5"/>
    </row>
    <row r="80" spans="1:6" x14ac:dyDescent="0.2">
      <c r="A80" s="4"/>
      <c r="B80" s="5" t="s">
        <v>12</v>
      </c>
      <c r="C80" s="4"/>
      <c r="D80" s="5"/>
      <c r="E80" s="4"/>
      <c r="F80" s="5"/>
    </row>
    <row r="81" spans="1:6" x14ac:dyDescent="0.2">
      <c r="A81" s="4"/>
      <c r="B81" s="5" t="s">
        <v>12</v>
      </c>
      <c r="C81" s="4"/>
      <c r="D81" s="5"/>
      <c r="E81" s="4"/>
      <c r="F81" s="5"/>
    </row>
    <row r="82" spans="1:6" x14ac:dyDescent="0.2">
      <c r="A82" s="4"/>
      <c r="B82" s="5" t="s">
        <v>12</v>
      </c>
      <c r="C82" s="4"/>
      <c r="D82" s="5"/>
      <c r="E82" s="4"/>
      <c r="F82" s="5"/>
    </row>
    <row r="83" spans="1:6" x14ac:dyDescent="0.2">
      <c r="A83" s="4"/>
      <c r="B83" s="5" t="s">
        <v>12</v>
      </c>
      <c r="C83" s="4"/>
      <c r="D83" s="5"/>
      <c r="E83" s="4"/>
      <c r="F83" s="5"/>
    </row>
    <row r="84" spans="1:6" x14ac:dyDescent="0.2">
      <c r="A84" s="4"/>
      <c r="B84" s="5" t="s">
        <v>12</v>
      </c>
      <c r="C84" s="4"/>
      <c r="D84" s="5"/>
      <c r="E84" s="4"/>
      <c r="F84" s="5"/>
    </row>
    <row r="85" spans="1:6" x14ac:dyDescent="0.2">
      <c r="A85" s="4"/>
      <c r="B85" s="5" t="s">
        <v>12</v>
      </c>
      <c r="C85" s="4"/>
      <c r="D85" s="5"/>
      <c r="E85" s="4"/>
      <c r="F85" s="5"/>
    </row>
    <row r="86" spans="1:6" x14ac:dyDescent="0.2">
      <c r="A86" s="4"/>
      <c r="B86" s="5" t="s">
        <v>12</v>
      </c>
      <c r="C86" s="4"/>
      <c r="D86" s="5"/>
      <c r="E86" s="4"/>
      <c r="F86" s="5"/>
    </row>
    <row r="87" spans="1:6" x14ac:dyDescent="0.2">
      <c r="A87" s="4"/>
      <c r="B87" s="5" t="s">
        <v>12</v>
      </c>
      <c r="C87" s="4"/>
      <c r="D87" s="5"/>
      <c r="E87" s="4"/>
      <c r="F87" s="5"/>
    </row>
    <row r="88" spans="1:6" x14ac:dyDescent="0.2">
      <c r="A88" s="4"/>
      <c r="B88" s="5" t="s">
        <v>12</v>
      </c>
      <c r="C88" s="4"/>
      <c r="D88" s="5"/>
      <c r="E88" s="4"/>
      <c r="F88" s="5"/>
    </row>
    <row r="89" spans="1:6" x14ac:dyDescent="0.2">
      <c r="A89" s="4"/>
      <c r="B89" s="5" t="s">
        <v>12</v>
      </c>
      <c r="C89" s="4"/>
      <c r="D89" s="5"/>
      <c r="E89" s="4"/>
      <c r="F89" s="5"/>
    </row>
    <row r="90" spans="1:6" x14ac:dyDescent="0.2">
      <c r="A90" s="4"/>
      <c r="B90" s="5" t="s">
        <v>12</v>
      </c>
      <c r="C90" s="4"/>
      <c r="D90" s="5"/>
      <c r="E90" s="4"/>
      <c r="F90" s="5"/>
    </row>
    <row r="91" spans="1:6" x14ac:dyDescent="0.2">
      <c r="A91" s="4"/>
      <c r="B91" s="5" t="s">
        <v>12</v>
      </c>
      <c r="C91" s="4"/>
      <c r="D91" s="5"/>
      <c r="E91" s="4"/>
      <c r="F91" s="5"/>
    </row>
    <row r="92" spans="1:6" x14ac:dyDescent="0.2">
      <c r="A92" s="4"/>
      <c r="B92" s="5" t="s">
        <v>12</v>
      </c>
      <c r="C92" s="4"/>
      <c r="D92" s="5"/>
      <c r="E92" s="4"/>
      <c r="F92" s="5"/>
    </row>
    <row r="93" spans="1:6" x14ac:dyDescent="0.2">
      <c r="A93" s="4"/>
      <c r="B93" s="5" t="s">
        <v>12</v>
      </c>
      <c r="C93" s="4"/>
      <c r="D93" s="5"/>
      <c r="E93" s="4"/>
      <c r="F93" s="5"/>
    </row>
    <row r="94" spans="1:6" x14ac:dyDescent="0.2">
      <c r="A94" s="4"/>
      <c r="B94" s="5" t="s">
        <v>12</v>
      </c>
      <c r="C94" s="4"/>
      <c r="D94" s="5"/>
      <c r="E94" s="4"/>
      <c r="F94" s="5"/>
    </row>
    <row r="95" spans="1:6" x14ac:dyDescent="0.2">
      <c r="A95" s="4"/>
      <c r="B95" s="5" t="s">
        <v>12</v>
      </c>
      <c r="C95" s="4"/>
      <c r="D95" s="5"/>
      <c r="E95" s="4"/>
      <c r="F95" s="5"/>
    </row>
    <row r="96" spans="1:6" x14ac:dyDescent="0.2">
      <c r="A96" s="4"/>
      <c r="B96" s="5" t="s">
        <v>12</v>
      </c>
      <c r="C96" s="4"/>
      <c r="D96" s="5"/>
      <c r="E96" s="4"/>
      <c r="F96" s="5"/>
    </row>
    <row r="97" spans="1:6" x14ac:dyDescent="0.2">
      <c r="A97" s="4"/>
      <c r="B97" s="5" t="s">
        <v>12</v>
      </c>
      <c r="C97" s="4"/>
      <c r="D97" s="5"/>
      <c r="E97" s="4"/>
      <c r="F97" s="5"/>
    </row>
    <row r="98" spans="1:6" x14ac:dyDescent="0.2">
      <c r="A98" s="4"/>
      <c r="B98" s="5" t="s">
        <v>12</v>
      </c>
      <c r="C98" s="4"/>
      <c r="D98" s="5"/>
      <c r="E98" s="4"/>
      <c r="F98" s="5"/>
    </row>
    <row r="99" spans="1:6" x14ac:dyDescent="0.2">
      <c r="A99" s="4"/>
      <c r="B99" s="5" t="s">
        <v>12</v>
      </c>
      <c r="C99" s="4"/>
      <c r="D99" s="5"/>
      <c r="E99" s="4"/>
      <c r="F99" s="5"/>
    </row>
    <row r="100" spans="1:6" x14ac:dyDescent="0.2">
      <c r="A100" s="4"/>
      <c r="B100" s="5" t="s">
        <v>12</v>
      </c>
      <c r="C100" s="4"/>
      <c r="D100" s="5"/>
      <c r="E100" s="4"/>
      <c r="F100" s="5"/>
    </row>
    <row r="101" spans="1:6" x14ac:dyDescent="0.2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6640625" bestFit="1" customWidth="1"/>
    <col min="6" max="6" width="13.5" bestFit="1" customWidth="1"/>
    <col min="7" max="7" width="10.3320312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D10" sqref="D10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176</v>
      </c>
      <c r="B8" s="35" t="s">
        <v>177</v>
      </c>
      <c r="C8" s="34" t="s">
        <v>85</v>
      </c>
      <c r="D8" s="36" t="s">
        <v>178</v>
      </c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7" t="s">
        <v>96</v>
      </c>
      <c r="B10" s="38" t="s">
        <v>95</v>
      </c>
      <c r="C10" s="37" t="s">
        <v>95</v>
      </c>
      <c r="D10" s="38" t="s">
        <v>96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E11" sqref="E11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3320312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6" t="s">
        <v>52</v>
      </c>
    </row>
    <row r="2" spans="1:8" x14ac:dyDescent="0.2">
      <c r="A2" s="29" t="s">
        <v>83</v>
      </c>
    </row>
    <row r="3" spans="1:8" x14ac:dyDescent="0.2">
      <c r="A3" t="s">
        <v>75</v>
      </c>
      <c r="D3" s="16" t="s">
        <v>58</v>
      </c>
    </row>
    <row r="4" spans="1:8" x14ac:dyDescent="0.2">
      <c r="A4" t="s">
        <v>82</v>
      </c>
    </row>
    <row r="6" spans="1:8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">
      <c r="A7" s="33" t="s">
        <v>176</v>
      </c>
      <c r="B7" s="6" t="s">
        <v>71</v>
      </c>
      <c r="C7" s="6" t="s">
        <v>69</v>
      </c>
      <c r="D7" s="6" t="s">
        <v>77</v>
      </c>
      <c r="E7" s="6">
        <v>0.75</v>
      </c>
      <c r="F7" s="6"/>
    </row>
    <row r="8" spans="1:8" x14ac:dyDescent="0.2">
      <c r="A8" s="7" t="s">
        <v>177</v>
      </c>
      <c r="B8" s="7" t="s">
        <v>70</v>
      </c>
      <c r="C8" s="7" t="s">
        <v>69</v>
      </c>
      <c r="D8" s="7" t="s">
        <v>77</v>
      </c>
      <c r="E8" s="7">
        <v>0.1</v>
      </c>
      <c r="F8" s="7"/>
    </row>
    <row r="9" spans="1:8" x14ac:dyDescent="0.2">
      <c r="A9" s="6" t="s">
        <v>85</v>
      </c>
      <c r="B9" s="6" t="s">
        <v>70</v>
      </c>
      <c r="C9" s="6" t="s">
        <v>69</v>
      </c>
      <c r="D9" s="6" t="s">
        <v>77</v>
      </c>
      <c r="E9" s="6">
        <v>0.1</v>
      </c>
      <c r="F9" s="6"/>
    </row>
    <row r="10" spans="1:8" x14ac:dyDescent="0.2">
      <c r="A10" s="7" t="s">
        <v>178</v>
      </c>
      <c r="B10" s="7" t="s">
        <v>71</v>
      </c>
      <c r="C10" s="7" t="s">
        <v>69</v>
      </c>
      <c r="D10" s="7" t="s">
        <v>77</v>
      </c>
      <c r="E10" s="7">
        <v>0.05</v>
      </c>
      <c r="F10" s="7"/>
    </row>
    <row r="11" spans="1:8" x14ac:dyDescent="0.2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664062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>Incidence</v>
      </c>
    </row>
    <row r="7" spans="1:11" x14ac:dyDescent="0.2">
      <c r="H7" s="32" t="str">
        <v/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72FF-AAF8-B048-884C-E0F803ECA665}">
  <dimension ref="A1:L1008"/>
  <sheetViews>
    <sheetView workbookViewId="0">
      <selection activeCell="I27" sqref="I27"/>
    </sheetView>
  </sheetViews>
  <sheetFormatPr baseColWidth="10" defaultRowHeight="15" x14ac:dyDescent="0.2"/>
  <cols>
    <col min="1" max="1" width="11.83203125" style="42" bestFit="1" customWidth="1"/>
    <col min="2" max="16384" width="10.83203125" style="42"/>
  </cols>
  <sheetData>
    <row r="1" spans="1:12" x14ac:dyDescent="0.2">
      <c r="A1" s="41" t="s">
        <v>179</v>
      </c>
      <c r="B1" s="41" t="s">
        <v>176</v>
      </c>
      <c r="G1" s="43" t="s">
        <v>185</v>
      </c>
    </row>
    <row r="3" spans="1:12" x14ac:dyDescent="0.2">
      <c r="A3" s="43" t="s">
        <v>180</v>
      </c>
    </row>
    <row r="4" spans="1:12" x14ac:dyDescent="0.2">
      <c r="A4" s="44" t="s">
        <v>86</v>
      </c>
      <c r="B4" s="44" t="s">
        <v>187</v>
      </c>
      <c r="C4" s="44" t="s">
        <v>188</v>
      </c>
      <c r="D4" s="44" t="s">
        <v>189</v>
      </c>
      <c r="E4" s="44"/>
      <c r="F4" s="44"/>
      <c r="G4" s="44"/>
      <c r="H4" s="44"/>
      <c r="I4" s="44"/>
      <c r="J4" s="44"/>
      <c r="K4" s="44"/>
      <c r="L4" s="44"/>
    </row>
    <row r="5" spans="1:12" x14ac:dyDescent="0.2">
      <c r="A5" s="43" t="s">
        <v>181</v>
      </c>
    </row>
    <row r="6" spans="1:12" x14ac:dyDescent="0.2">
      <c r="A6" s="46" t="s">
        <v>182</v>
      </c>
      <c r="B6" s="45" t="s">
        <v>183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">
      <c r="A8" s="41" t="s">
        <v>86</v>
      </c>
      <c r="B8" s="41" t="s">
        <v>187</v>
      </c>
      <c r="C8" s="41" t="s">
        <v>188</v>
      </c>
      <c r="D8" s="41" t="s">
        <v>189</v>
      </c>
      <c r="E8" s="41" t="s">
        <v>176</v>
      </c>
      <c r="F8" s="41" t="s">
        <v>182</v>
      </c>
      <c r="G8" s="41" t="s">
        <v>183</v>
      </c>
      <c r="J8" s="43" t="s">
        <v>186</v>
      </c>
    </row>
    <row r="9" spans="1:12" x14ac:dyDescent="0.2">
      <c r="A9" s="45">
        <v>2006</v>
      </c>
      <c r="B9" s="45" t="s">
        <v>190</v>
      </c>
      <c r="C9" s="45" t="s">
        <v>44</v>
      </c>
      <c r="D9" s="45" t="s">
        <v>191</v>
      </c>
      <c r="E9" s="45">
        <v>3.1E-2</v>
      </c>
      <c r="F9" s="45"/>
      <c r="G9" s="45">
        <v>973.34751449092698</v>
      </c>
    </row>
    <row r="10" spans="1:12" x14ac:dyDescent="0.2">
      <c r="A10" s="44">
        <v>2006</v>
      </c>
      <c r="B10" s="44" t="s">
        <v>190</v>
      </c>
      <c r="C10" s="44" t="s">
        <v>44</v>
      </c>
      <c r="D10" s="44" t="s">
        <v>192</v>
      </c>
      <c r="E10" s="44">
        <v>5.7999999999999899E-2</v>
      </c>
      <c r="F10" s="44"/>
      <c r="G10" s="44">
        <v>555.94580078125</v>
      </c>
    </row>
    <row r="11" spans="1:12" x14ac:dyDescent="0.2">
      <c r="A11" s="45">
        <v>2006</v>
      </c>
      <c r="B11" s="45" t="s">
        <v>190</v>
      </c>
      <c r="C11" s="45" t="s">
        <v>44</v>
      </c>
      <c r="D11" s="45" t="s">
        <v>193</v>
      </c>
      <c r="E11" s="45">
        <v>0.13</v>
      </c>
      <c r="F11" s="45"/>
      <c r="G11" s="45">
        <v>574.13897235576906</v>
      </c>
    </row>
    <row r="12" spans="1:12" x14ac:dyDescent="0.2">
      <c r="A12" s="44">
        <v>2006</v>
      </c>
      <c r="B12" s="44" t="s">
        <v>190</v>
      </c>
      <c r="C12" s="44" t="s">
        <v>44</v>
      </c>
      <c r="D12" s="44" t="s">
        <v>194</v>
      </c>
      <c r="E12" s="44">
        <v>0.29499999999999998</v>
      </c>
      <c r="F12" s="44"/>
      <c r="G12" s="44">
        <v>330.96918034957599</v>
      </c>
    </row>
    <row r="13" spans="1:12" x14ac:dyDescent="0.2">
      <c r="A13" s="45">
        <v>2006</v>
      </c>
      <c r="B13" s="45" t="s">
        <v>190</v>
      </c>
      <c r="C13" s="45" t="s">
        <v>44</v>
      </c>
      <c r="D13" s="45" t="s">
        <v>195</v>
      </c>
      <c r="E13" s="45">
        <v>0.32100000000000001</v>
      </c>
      <c r="F13" s="45"/>
      <c r="G13" s="45">
        <v>354.182778426791</v>
      </c>
    </row>
    <row r="14" spans="1:12" x14ac:dyDescent="0.2">
      <c r="A14" s="44">
        <v>2006</v>
      </c>
      <c r="B14" s="44" t="s">
        <v>190</v>
      </c>
      <c r="C14" s="44" t="s">
        <v>44</v>
      </c>
      <c r="D14" s="44" t="s">
        <v>196</v>
      </c>
      <c r="E14" s="44">
        <v>0.32899999999999902</v>
      </c>
      <c r="F14" s="44"/>
      <c r="G14" s="44">
        <v>201.67753253229401</v>
      </c>
    </row>
    <row r="15" spans="1:12" x14ac:dyDescent="0.2">
      <c r="A15" s="45">
        <v>2006</v>
      </c>
      <c r="B15" s="45" t="s">
        <v>190</v>
      </c>
      <c r="C15" s="45" t="s">
        <v>44</v>
      </c>
      <c r="D15" s="45" t="s">
        <v>197</v>
      </c>
      <c r="E15" s="45">
        <v>0.26</v>
      </c>
      <c r="F15" s="45"/>
      <c r="G15" s="45">
        <v>256.28665865384602</v>
      </c>
    </row>
    <row r="16" spans="1:12" x14ac:dyDescent="0.2">
      <c r="A16" s="44">
        <v>2011</v>
      </c>
      <c r="B16" s="44" t="s">
        <v>190</v>
      </c>
      <c r="C16" s="44" t="s">
        <v>44</v>
      </c>
      <c r="D16" s="44" t="s">
        <v>191</v>
      </c>
      <c r="E16" s="44">
        <v>3.4000000000000002E-2</v>
      </c>
      <c r="F16" s="44"/>
      <c r="G16" s="44">
        <v>1177.51706112132</v>
      </c>
    </row>
    <row r="17" spans="1:7" x14ac:dyDescent="0.2">
      <c r="A17" s="45">
        <v>2011</v>
      </c>
      <c r="B17" s="45" t="s">
        <v>190</v>
      </c>
      <c r="C17" s="45" t="s">
        <v>44</v>
      </c>
      <c r="D17" s="45" t="s">
        <v>192</v>
      </c>
      <c r="E17" s="45">
        <v>3.7999999999999999E-2</v>
      </c>
      <c r="F17" s="45"/>
      <c r="G17" s="45">
        <v>775.99360094572296</v>
      </c>
    </row>
    <row r="18" spans="1:7" x14ac:dyDescent="0.2">
      <c r="A18" s="44">
        <v>2011</v>
      </c>
      <c r="B18" s="44" t="s">
        <v>190</v>
      </c>
      <c r="C18" s="44" t="s">
        <v>44</v>
      </c>
      <c r="D18" s="44" t="s">
        <v>193</v>
      </c>
      <c r="E18" s="44">
        <v>0.10299999999999999</v>
      </c>
      <c r="F18" s="44"/>
      <c r="G18" s="44">
        <v>700.904296875</v>
      </c>
    </row>
    <row r="19" spans="1:7" x14ac:dyDescent="0.2">
      <c r="A19" s="45">
        <v>2011</v>
      </c>
      <c r="B19" s="45" t="s">
        <v>190</v>
      </c>
      <c r="C19" s="45" t="s">
        <v>44</v>
      </c>
      <c r="D19" s="45" t="s">
        <v>194</v>
      </c>
      <c r="E19" s="45">
        <v>0.17399999999999999</v>
      </c>
      <c r="F19" s="45"/>
      <c r="G19" s="45">
        <v>681.26079831178095</v>
      </c>
    </row>
    <row r="20" spans="1:7" x14ac:dyDescent="0.2">
      <c r="A20" s="44">
        <v>2011</v>
      </c>
      <c r="B20" s="44" t="s">
        <v>190</v>
      </c>
      <c r="C20" s="44" t="s">
        <v>44</v>
      </c>
      <c r="D20" s="44" t="s">
        <v>195</v>
      </c>
      <c r="E20" s="44">
        <v>0.251</v>
      </c>
      <c r="F20" s="44"/>
      <c r="G20" s="44">
        <v>485.21432239790801</v>
      </c>
    </row>
    <row r="21" spans="1:7" x14ac:dyDescent="0.2">
      <c r="A21" s="45">
        <v>2011</v>
      </c>
      <c r="B21" s="45" t="s">
        <v>190</v>
      </c>
      <c r="C21" s="45" t="s">
        <v>44</v>
      </c>
      <c r="D21" s="45" t="s">
        <v>196</v>
      </c>
      <c r="E21" s="45">
        <v>0.26200000000000001</v>
      </c>
      <c r="F21" s="45"/>
      <c r="G21" s="45">
        <v>410.171949546755</v>
      </c>
    </row>
    <row r="22" spans="1:7" x14ac:dyDescent="0.2">
      <c r="A22" s="44">
        <v>2011</v>
      </c>
      <c r="B22" s="44" t="s">
        <v>190</v>
      </c>
      <c r="C22" s="44" t="s">
        <v>44</v>
      </c>
      <c r="D22" s="44" t="s">
        <v>197</v>
      </c>
      <c r="E22" s="44">
        <v>0.29899999999999999</v>
      </c>
      <c r="F22" s="44"/>
      <c r="G22" s="44">
        <v>279.16973897366199</v>
      </c>
    </row>
    <row r="23" spans="1:7" x14ac:dyDescent="0.2">
      <c r="A23" s="45">
        <v>2015</v>
      </c>
      <c r="B23" s="45" t="s">
        <v>190</v>
      </c>
      <c r="C23" s="45" t="s">
        <v>44</v>
      </c>
      <c r="D23" s="45" t="s">
        <v>191</v>
      </c>
      <c r="E23" s="45">
        <v>2.5000000000000001E-2</v>
      </c>
      <c r="F23" s="45"/>
      <c r="G23" s="45">
        <v>1488.2578125</v>
      </c>
    </row>
    <row r="24" spans="1:7" x14ac:dyDescent="0.2">
      <c r="A24" s="44">
        <v>2015</v>
      </c>
      <c r="B24" s="44" t="s">
        <v>190</v>
      </c>
      <c r="C24" s="44" t="s">
        <v>44</v>
      </c>
      <c r="D24" s="44" t="s">
        <v>192</v>
      </c>
      <c r="E24" s="44">
        <v>3.6999999999999998E-2</v>
      </c>
      <c r="F24" s="44"/>
      <c r="G24" s="44">
        <v>1063.81603673986</v>
      </c>
    </row>
    <row r="25" spans="1:7" x14ac:dyDescent="0.2">
      <c r="A25" s="45">
        <v>2015</v>
      </c>
      <c r="B25" s="45" t="s">
        <v>190</v>
      </c>
      <c r="C25" s="45" t="s">
        <v>44</v>
      </c>
      <c r="D25" s="45" t="s">
        <v>193</v>
      </c>
      <c r="E25" s="45">
        <v>7.4999999999999997E-2</v>
      </c>
      <c r="F25" s="45"/>
      <c r="G25" s="45">
        <v>779.43619791666595</v>
      </c>
    </row>
    <row r="26" spans="1:7" x14ac:dyDescent="0.2">
      <c r="A26" s="44">
        <v>2015</v>
      </c>
      <c r="B26" s="44" t="s">
        <v>190</v>
      </c>
      <c r="C26" s="44" t="s">
        <v>44</v>
      </c>
      <c r="D26" s="44" t="s">
        <v>194</v>
      </c>
      <c r="E26" s="44">
        <v>0.13100000000000001</v>
      </c>
      <c r="F26" s="44"/>
      <c r="G26" s="44">
        <v>502.07412183921701</v>
      </c>
    </row>
    <row r="27" spans="1:7" x14ac:dyDescent="0.2">
      <c r="A27" s="45">
        <v>2015</v>
      </c>
      <c r="B27" s="45" t="s">
        <v>190</v>
      </c>
      <c r="C27" s="45" t="s">
        <v>44</v>
      </c>
      <c r="D27" s="45" t="s">
        <v>195</v>
      </c>
      <c r="E27" s="45">
        <v>0.18</v>
      </c>
      <c r="F27" s="45"/>
      <c r="G27" s="45">
        <v>569.848253038194</v>
      </c>
    </row>
    <row r="28" spans="1:7" x14ac:dyDescent="0.2">
      <c r="A28" s="44">
        <v>2015</v>
      </c>
      <c r="B28" s="44" t="s">
        <v>190</v>
      </c>
      <c r="C28" s="44" t="s">
        <v>44</v>
      </c>
      <c r="D28" s="44" t="s">
        <v>196</v>
      </c>
      <c r="E28" s="44">
        <v>0.27</v>
      </c>
      <c r="F28" s="44"/>
      <c r="G28" s="44">
        <v>334.35427517361097</v>
      </c>
    </row>
    <row r="29" spans="1:7" x14ac:dyDescent="0.2">
      <c r="A29" s="45">
        <v>2015</v>
      </c>
      <c r="B29" s="45" t="s">
        <v>190</v>
      </c>
      <c r="C29" s="45" t="s">
        <v>44</v>
      </c>
      <c r="D29" s="45" t="s">
        <v>197</v>
      </c>
      <c r="E29" s="45">
        <v>0.23199999999999901</v>
      </c>
      <c r="F29" s="45"/>
      <c r="G29" s="45">
        <v>368.95986412311402</v>
      </c>
    </row>
    <row r="30" spans="1:7" x14ac:dyDescent="0.2">
      <c r="A30" s="44">
        <v>2016</v>
      </c>
      <c r="B30" s="44" t="s">
        <v>190</v>
      </c>
      <c r="C30" s="44" t="s">
        <v>44</v>
      </c>
      <c r="D30" s="44" t="s">
        <v>198</v>
      </c>
      <c r="E30" s="44">
        <v>0.01</v>
      </c>
      <c r="F30" s="44"/>
      <c r="G30" s="44">
        <v>925.58996582031205</v>
      </c>
    </row>
    <row r="31" spans="1:7" x14ac:dyDescent="0.2">
      <c r="A31" s="45">
        <v>2016</v>
      </c>
      <c r="B31" s="45" t="s">
        <v>190</v>
      </c>
      <c r="C31" s="45" t="s">
        <v>44</v>
      </c>
      <c r="D31" s="45" t="s">
        <v>199</v>
      </c>
      <c r="E31" s="45">
        <v>2.1999999999999999E-2</v>
      </c>
      <c r="F31" s="45"/>
      <c r="G31" s="45">
        <v>379.94954057173197</v>
      </c>
    </row>
    <row r="32" spans="1:7" x14ac:dyDescent="0.2">
      <c r="A32" s="44">
        <v>2016</v>
      </c>
      <c r="B32" s="44" t="s">
        <v>190</v>
      </c>
      <c r="C32" s="44" t="s">
        <v>44</v>
      </c>
      <c r="D32" s="44" t="s">
        <v>200</v>
      </c>
      <c r="E32" s="44">
        <v>2.1999999999999999E-2</v>
      </c>
      <c r="F32" s="44"/>
      <c r="G32" s="44">
        <v>1467.3116566051101</v>
      </c>
    </row>
    <row r="33" spans="1:7" x14ac:dyDescent="0.2">
      <c r="A33" s="45">
        <v>2016</v>
      </c>
      <c r="B33" s="45" t="s">
        <v>190</v>
      </c>
      <c r="C33" s="45" t="s">
        <v>44</v>
      </c>
      <c r="D33" s="45" t="s">
        <v>191</v>
      </c>
      <c r="E33" s="45">
        <v>3.2000000000000001E-2</v>
      </c>
      <c r="F33" s="45"/>
      <c r="G33" s="45">
        <v>1317.9315795898401</v>
      </c>
    </row>
    <row r="34" spans="1:7" x14ac:dyDescent="0.2">
      <c r="A34" s="44">
        <v>2016</v>
      </c>
      <c r="B34" s="44" t="s">
        <v>190</v>
      </c>
      <c r="C34" s="44" t="s">
        <v>44</v>
      </c>
      <c r="D34" s="44" t="s">
        <v>192</v>
      </c>
      <c r="E34" s="44">
        <v>2.7E-2</v>
      </c>
      <c r="F34" s="44"/>
      <c r="G34" s="44">
        <v>1161.49367042824</v>
      </c>
    </row>
    <row r="35" spans="1:7" x14ac:dyDescent="0.2">
      <c r="A35" s="45">
        <v>2016</v>
      </c>
      <c r="B35" s="45" t="s">
        <v>190</v>
      </c>
      <c r="C35" s="45" t="s">
        <v>44</v>
      </c>
      <c r="D35" s="45" t="s">
        <v>193</v>
      </c>
      <c r="E35" s="45">
        <v>6.6000000000000003E-2</v>
      </c>
      <c r="F35" s="45"/>
      <c r="G35" s="45">
        <v>871.06291429924204</v>
      </c>
    </row>
    <row r="36" spans="1:7" x14ac:dyDescent="0.2">
      <c r="A36" s="44">
        <v>2016</v>
      </c>
      <c r="B36" s="44" t="s">
        <v>190</v>
      </c>
      <c r="C36" s="44" t="s">
        <v>44</v>
      </c>
      <c r="D36" s="44" t="s">
        <v>194</v>
      </c>
      <c r="E36" s="44">
        <v>0.122</v>
      </c>
      <c r="F36" s="44"/>
      <c r="G36" s="44">
        <v>779.44953893442596</v>
      </c>
    </row>
    <row r="37" spans="1:7" x14ac:dyDescent="0.2">
      <c r="A37" s="45">
        <v>2016</v>
      </c>
      <c r="B37" s="45" t="s">
        <v>190</v>
      </c>
      <c r="C37" s="45" t="s">
        <v>44</v>
      </c>
      <c r="D37" s="45" t="s">
        <v>195</v>
      </c>
      <c r="E37" s="45">
        <v>0.19399999999999901</v>
      </c>
      <c r="F37" s="45"/>
      <c r="G37" s="45">
        <v>713.48886517396897</v>
      </c>
    </row>
    <row r="38" spans="1:7" x14ac:dyDescent="0.2">
      <c r="A38" s="44">
        <v>2016</v>
      </c>
      <c r="B38" s="44" t="s">
        <v>190</v>
      </c>
      <c r="C38" s="44" t="s">
        <v>44</v>
      </c>
      <c r="D38" s="44" t="s">
        <v>196</v>
      </c>
      <c r="E38" s="44">
        <v>0.254</v>
      </c>
      <c r="F38" s="44"/>
      <c r="G38" s="44">
        <v>575.349693959153</v>
      </c>
    </row>
    <row r="39" spans="1:7" x14ac:dyDescent="0.2">
      <c r="A39" s="45">
        <v>2016</v>
      </c>
      <c r="B39" s="45" t="s">
        <v>190</v>
      </c>
      <c r="C39" s="45" t="s">
        <v>44</v>
      </c>
      <c r="D39" s="45" t="s">
        <v>197</v>
      </c>
      <c r="E39" s="45">
        <v>0.28100000000000003</v>
      </c>
      <c r="F39" s="45"/>
      <c r="G39" s="45">
        <v>428.41816336743699</v>
      </c>
    </row>
    <row r="40" spans="1:7" x14ac:dyDescent="0.2">
      <c r="A40" s="44">
        <v>2016</v>
      </c>
      <c r="B40" s="44" t="s">
        <v>190</v>
      </c>
      <c r="C40" s="44" t="s">
        <v>44</v>
      </c>
      <c r="D40" s="44" t="s">
        <v>201</v>
      </c>
      <c r="E40" s="44">
        <v>0.28000000000000003</v>
      </c>
      <c r="F40" s="44"/>
      <c r="G40" s="44">
        <v>302.21393694196399</v>
      </c>
    </row>
    <row r="41" spans="1:7" x14ac:dyDescent="0.2">
      <c r="A41" s="45">
        <v>2016</v>
      </c>
      <c r="B41" s="45" t="s">
        <v>190</v>
      </c>
      <c r="C41" s="45" t="s">
        <v>44</v>
      </c>
      <c r="D41" s="45" t="s">
        <v>202</v>
      </c>
      <c r="E41" s="45">
        <v>0.24399999999999999</v>
      </c>
      <c r="F41" s="45"/>
      <c r="G41" s="45">
        <v>293.91987384733602</v>
      </c>
    </row>
    <row r="42" spans="1:7" x14ac:dyDescent="0.2">
      <c r="A42" s="44">
        <v>2016</v>
      </c>
      <c r="B42" s="44" t="s">
        <v>190</v>
      </c>
      <c r="C42" s="44" t="s">
        <v>44</v>
      </c>
      <c r="D42" s="44" t="s">
        <v>203</v>
      </c>
      <c r="E42" s="44">
        <v>0.16800000000000001</v>
      </c>
      <c r="F42" s="44"/>
      <c r="G42" s="44">
        <v>237.50940522693401</v>
      </c>
    </row>
    <row r="43" spans="1:7" x14ac:dyDescent="0.2">
      <c r="A43" s="45">
        <v>2006</v>
      </c>
      <c r="B43" s="45" t="s">
        <v>190</v>
      </c>
      <c r="C43" s="45" t="s">
        <v>43</v>
      </c>
      <c r="D43" s="45" t="s">
        <v>191</v>
      </c>
      <c r="E43" s="45">
        <v>6.2E-2</v>
      </c>
      <c r="F43" s="45"/>
      <c r="G43" s="45">
        <v>1000.41955960181</v>
      </c>
    </row>
    <row r="44" spans="1:7" x14ac:dyDescent="0.2">
      <c r="A44" s="44">
        <v>2006</v>
      </c>
      <c r="B44" s="44" t="s">
        <v>190</v>
      </c>
      <c r="C44" s="44" t="s">
        <v>43</v>
      </c>
      <c r="D44" s="44" t="s">
        <v>192</v>
      </c>
      <c r="E44" s="44">
        <v>0.16300000000000001</v>
      </c>
      <c r="F44" s="44"/>
      <c r="G44" s="44">
        <v>1527.8744967407899</v>
      </c>
    </row>
    <row r="45" spans="1:7" x14ac:dyDescent="0.2">
      <c r="A45" s="45">
        <v>2006</v>
      </c>
      <c r="B45" s="45" t="s">
        <v>190</v>
      </c>
      <c r="C45" s="45" t="s">
        <v>43</v>
      </c>
      <c r="D45" s="45" t="s">
        <v>193</v>
      </c>
      <c r="E45" s="45">
        <v>0.28799999999999998</v>
      </c>
      <c r="F45" s="45"/>
      <c r="G45" s="45">
        <v>660.638047960069</v>
      </c>
    </row>
    <row r="46" spans="1:7" x14ac:dyDescent="0.2">
      <c r="A46" s="44">
        <v>2006</v>
      </c>
      <c r="B46" s="44" t="s">
        <v>190</v>
      </c>
      <c r="C46" s="44" t="s">
        <v>43</v>
      </c>
      <c r="D46" s="44" t="s">
        <v>194</v>
      </c>
      <c r="E46" s="44">
        <v>0.35499999999999998</v>
      </c>
      <c r="F46" s="44"/>
      <c r="G46" s="44">
        <v>521.15146346830898</v>
      </c>
    </row>
    <row r="47" spans="1:7" x14ac:dyDescent="0.2">
      <c r="A47" s="45">
        <v>2006</v>
      </c>
      <c r="B47" s="45" t="s">
        <v>190</v>
      </c>
      <c r="C47" s="45" t="s">
        <v>43</v>
      </c>
      <c r="D47" s="45" t="s">
        <v>195</v>
      </c>
      <c r="E47" s="45">
        <v>0.34499999999999997</v>
      </c>
      <c r="F47" s="45"/>
      <c r="G47" s="45">
        <v>526.90987318840496</v>
      </c>
    </row>
    <row r="48" spans="1:7" x14ac:dyDescent="0.2">
      <c r="A48" s="44">
        <v>2006</v>
      </c>
      <c r="B48" s="44" t="s">
        <v>190</v>
      </c>
      <c r="C48" s="44" t="s">
        <v>43</v>
      </c>
      <c r="D48" s="44" t="s">
        <v>196</v>
      </c>
      <c r="E48" s="44">
        <v>0.25700000000000001</v>
      </c>
      <c r="F48" s="44"/>
      <c r="G48" s="44">
        <v>404.15944187743099</v>
      </c>
    </row>
    <row r="49" spans="1:7" x14ac:dyDescent="0.2">
      <c r="A49" s="45">
        <v>2006</v>
      </c>
      <c r="B49" s="45" t="s">
        <v>190</v>
      </c>
      <c r="C49" s="45" t="s">
        <v>43</v>
      </c>
      <c r="D49" s="45" t="s">
        <v>197</v>
      </c>
      <c r="E49" s="45">
        <v>0.18</v>
      </c>
      <c r="F49" s="45"/>
      <c r="G49" s="45">
        <v>336.982177734375</v>
      </c>
    </row>
    <row r="50" spans="1:7" x14ac:dyDescent="0.2">
      <c r="A50" s="44">
        <v>2011</v>
      </c>
      <c r="B50" s="44" t="s">
        <v>190</v>
      </c>
      <c r="C50" s="44" t="s">
        <v>43</v>
      </c>
      <c r="D50" s="44" t="s">
        <v>191</v>
      </c>
      <c r="E50" s="44">
        <v>4.2000000000000003E-2</v>
      </c>
      <c r="F50" s="44"/>
      <c r="G50" s="44">
        <v>1399.5388532366001</v>
      </c>
    </row>
    <row r="51" spans="1:7" x14ac:dyDescent="0.2">
      <c r="A51" s="45">
        <v>2011</v>
      </c>
      <c r="B51" s="45" t="s">
        <v>190</v>
      </c>
      <c r="C51" s="45" t="s">
        <v>43</v>
      </c>
      <c r="D51" s="45" t="s">
        <v>192</v>
      </c>
      <c r="E51" s="45">
        <v>0.106</v>
      </c>
      <c r="F51" s="45"/>
      <c r="G51" s="45">
        <v>1345.22825766509</v>
      </c>
    </row>
    <row r="52" spans="1:7" x14ac:dyDescent="0.2">
      <c r="A52" s="44">
        <v>2011</v>
      </c>
      <c r="B52" s="44" t="s">
        <v>190</v>
      </c>
      <c r="C52" s="44" t="s">
        <v>43</v>
      </c>
      <c r="D52" s="44" t="s">
        <v>193</v>
      </c>
      <c r="E52" s="44">
        <v>0.20100000000000001</v>
      </c>
      <c r="F52" s="44"/>
      <c r="G52" s="44">
        <v>1165.6520911069599</v>
      </c>
    </row>
    <row r="53" spans="1:7" x14ac:dyDescent="0.2">
      <c r="A53" s="45">
        <v>2011</v>
      </c>
      <c r="B53" s="45" t="s">
        <v>190</v>
      </c>
      <c r="C53" s="45" t="s">
        <v>43</v>
      </c>
      <c r="D53" s="45" t="s">
        <v>194</v>
      </c>
      <c r="E53" s="45">
        <v>0.28999999999999998</v>
      </c>
      <c r="F53" s="45"/>
      <c r="G53" s="45">
        <v>793.71982758620697</v>
      </c>
    </row>
    <row r="54" spans="1:7" x14ac:dyDescent="0.2">
      <c r="A54" s="44">
        <v>2011</v>
      </c>
      <c r="B54" s="44" t="s">
        <v>190</v>
      </c>
      <c r="C54" s="44" t="s">
        <v>43</v>
      </c>
      <c r="D54" s="44" t="s">
        <v>195</v>
      </c>
      <c r="E54" s="44">
        <v>0.29099999999999998</v>
      </c>
      <c r="F54" s="44"/>
      <c r="G54" s="44">
        <v>725.96856207044596</v>
      </c>
    </row>
    <row r="55" spans="1:7" x14ac:dyDescent="0.2">
      <c r="A55" s="45">
        <v>2011</v>
      </c>
      <c r="B55" s="45" t="s">
        <v>190</v>
      </c>
      <c r="C55" s="45" t="s">
        <v>43</v>
      </c>
      <c r="D55" s="45" t="s">
        <v>196</v>
      </c>
      <c r="E55" s="45">
        <v>0.25700000000000001</v>
      </c>
      <c r="F55" s="45"/>
      <c r="G55" s="45">
        <v>494.04974008997999</v>
      </c>
    </row>
    <row r="56" spans="1:7" x14ac:dyDescent="0.2">
      <c r="A56" s="44">
        <v>2011</v>
      </c>
      <c r="B56" s="44" t="s">
        <v>190</v>
      </c>
      <c r="C56" s="44" t="s">
        <v>43</v>
      </c>
      <c r="D56" s="44" t="s">
        <v>197</v>
      </c>
      <c r="E56" s="44">
        <v>0.22500000000000001</v>
      </c>
      <c r="F56" s="44"/>
      <c r="G56" s="44">
        <v>406.71484375</v>
      </c>
    </row>
    <row r="57" spans="1:7" x14ac:dyDescent="0.2">
      <c r="A57" s="45">
        <v>2015</v>
      </c>
      <c r="B57" s="45" t="s">
        <v>190</v>
      </c>
      <c r="C57" s="45" t="s">
        <v>43</v>
      </c>
      <c r="D57" s="45" t="s">
        <v>191</v>
      </c>
      <c r="E57" s="45">
        <v>0.04</v>
      </c>
      <c r="F57" s="45"/>
      <c r="G57" s="45">
        <v>1367.71337890625</v>
      </c>
    </row>
    <row r="58" spans="1:7" x14ac:dyDescent="0.2">
      <c r="A58" s="44">
        <v>2015</v>
      </c>
      <c r="B58" s="44" t="s">
        <v>190</v>
      </c>
      <c r="C58" s="44" t="s">
        <v>43</v>
      </c>
      <c r="D58" s="44" t="s">
        <v>192</v>
      </c>
      <c r="E58" s="44">
        <v>0.10299999999999999</v>
      </c>
      <c r="F58" s="44"/>
      <c r="G58" s="44">
        <v>889.93550895024202</v>
      </c>
    </row>
    <row r="59" spans="1:7" x14ac:dyDescent="0.2">
      <c r="A59" s="45">
        <v>2015</v>
      </c>
      <c r="B59" s="45" t="s">
        <v>190</v>
      </c>
      <c r="C59" s="45" t="s">
        <v>43</v>
      </c>
      <c r="D59" s="45" t="s">
        <v>193</v>
      </c>
      <c r="E59" s="45">
        <v>0.155</v>
      </c>
      <c r="F59" s="45"/>
      <c r="G59" s="45">
        <v>1039.9447454637</v>
      </c>
    </row>
    <row r="60" spans="1:7" x14ac:dyDescent="0.2">
      <c r="A60" s="44">
        <v>2015</v>
      </c>
      <c r="B60" s="44" t="s">
        <v>190</v>
      </c>
      <c r="C60" s="44" t="s">
        <v>43</v>
      </c>
      <c r="D60" s="44" t="s">
        <v>194</v>
      </c>
      <c r="E60" s="44">
        <v>0.218999999999999</v>
      </c>
      <c r="F60" s="44"/>
      <c r="G60" s="44">
        <v>900.31367722602704</v>
      </c>
    </row>
    <row r="61" spans="1:7" x14ac:dyDescent="0.2">
      <c r="A61" s="45">
        <v>2015</v>
      </c>
      <c r="B61" s="45" t="s">
        <v>190</v>
      </c>
      <c r="C61" s="45" t="s">
        <v>43</v>
      </c>
      <c r="D61" s="45" t="s">
        <v>195</v>
      </c>
      <c r="E61" s="45">
        <v>0.28000000000000003</v>
      </c>
      <c r="F61" s="45"/>
      <c r="G61" s="45">
        <v>564.01116071428498</v>
      </c>
    </row>
    <row r="62" spans="1:7" x14ac:dyDescent="0.2">
      <c r="A62" s="44">
        <v>2015</v>
      </c>
      <c r="B62" s="44" t="s">
        <v>190</v>
      </c>
      <c r="C62" s="44" t="s">
        <v>43</v>
      </c>
      <c r="D62" s="44" t="s">
        <v>196</v>
      </c>
      <c r="E62" s="44">
        <v>0.313</v>
      </c>
      <c r="F62" s="44"/>
      <c r="G62" s="44">
        <v>635.48162939297094</v>
      </c>
    </row>
    <row r="63" spans="1:7" x14ac:dyDescent="0.2">
      <c r="A63" s="45">
        <v>2015</v>
      </c>
      <c r="B63" s="45" t="s">
        <v>190</v>
      </c>
      <c r="C63" s="45" t="s">
        <v>43</v>
      </c>
      <c r="D63" s="45" t="s">
        <v>197</v>
      </c>
      <c r="E63" s="45">
        <v>0.24299999999999999</v>
      </c>
      <c r="F63" s="45"/>
      <c r="G63" s="45">
        <v>380.90928015689298</v>
      </c>
    </row>
    <row r="64" spans="1:7" x14ac:dyDescent="0.2">
      <c r="A64" s="44">
        <v>2016</v>
      </c>
      <c r="B64" s="44" t="s">
        <v>190</v>
      </c>
      <c r="C64" s="44" t="s">
        <v>43</v>
      </c>
      <c r="D64" s="44" t="s">
        <v>198</v>
      </c>
      <c r="E64" s="44">
        <v>6.0000000000000001E-3</v>
      </c>
      <c r="F64" s="44"/>
      <c r="G64" s="44">
        <v>1029.6040445963499</v>
      </c>
    </row>
    <row r="65" spans="1:7" x14ac:dyDescent="0.2">
      <c r="A65" s="45">
        <v>2016</v>
      </c>
      <c r="B65" s="45" t="s">
        <v>190</v>
      </c>
      <c r="C65" s="45" t="s">
        <v>43</v>
      </c>
      <c r="D65" s="45" t="s">
        <v>199</v>
      </c>
      <c r="E65" s="45">
        <v>1.2999999999999999E-2</v>
      </c>
      <c r="F65" s="45"/>
      <c r="G65" s="45">
        <v>1058.3120868389401</v>
      </c>
    </row>
    <row r="66" spans="1:7" x14ac:dyDescent="0.2">
      <c r="A66" s="44">
        <v>2016</v>
      </c>
      <c r="B66" s="44" t="s">
        <v>190</v>
      </c>
      <c r="C66" s="44" t="s">
        <v>43</v>
      </c>
      <c r="D66" s="44" t="s">
        <v>200</v>
      </c>
      <c r="E66" s="44">
        <v>2.79999999999999E-2</v>
      </c>
      <c r="F66" s="44"/>
      <c r="G66" s="44">
        <v>799.54146902901698</v>
      </c>
    </row>
    <row r="67" spans="1:7" x14ac:dyDescent="0.2">
      <c r="A67" s="45">
        <v>2016</v>
      </c>
      <c r="B67" s="45" t="s">
        <v>190</v>
      </c>
      <c r="C67" s="45" t="s">
        <v>43</v>
      </c>
      <c r="D67" s="45" t="s">
        <v>191</v>
      </c>
      <c r="E67" s="45">
        <v>3.9E-2</v>
      </c>
      <c r="F67" s="45"/>
      <c r="G67" s="45">
        <v>1792.4945913461499</v>
      </c>
    </row>
    <row r="68" spans="1:7" x14ac:dyDescent="0.2">
      <c r="A68" s="44">
        <v>2016</v>
      </c>
      <c r="B68" s="44" t="s">
        <v>190</v>
      </c>
      <c r="C68" s="44" t="s">
        <v>43</v>
      </c>
      <c r="D68" s="44" t="s">
        <v>192</v>
      </c>
      <c r="E68" s="44">
        <v>8.1000000000000003E-2</v>
      </c>
      <c r="F68" s="44"/>
      <c r="G68" s="44">
        <v>1357.5973668981401</v>
      </c>
    </row>
    <row r="69" spans="1:7" x14ac:dyDescent="0.2">
      <c r="A69" s="45">
        <v>2016</v>
      </c>
      <c r="B69" s="45" t="s">
        <v>190</v>
      </c>
      <c r="C69" s="45" t="s">
        <v>43</v>
      </c>
      <c r="D69" s="45" t="s">
        <v>193</v>
      </c>
      <c r="E69" s="45">
        <v>0.14299999999999999</v>
      </c>
      <c r="F69" s="45"/>
      <c r="G69" s="45">
        <v>1453.60008741258</v>
      </c>
    </row>
    <row r="70" spans="1:7" x14ac:dyDescent="0.2">
      <c r="A70" s="44">
        <v>2016</v>
      </c>
      <c r="B70" s="44" t="s">
        <v>190</v>
      </c>
      <c r="C70" s="44" t="s">
        <v>43</v>
      </c>
      <c r="D70" s="44" t="s">
        <v>194</v>
      </c>
      <c r="E70" s="44">
        <v>0.218999999999999</v>
      </c>
      <c r="F70" s="44"/>
      <c r="G70" s="44">
        <v>1294.95194777397</v>
      </c>
    </row>
    <row r="71" spans="1:7" x14ac:dyDescent="0.2">
      <c r="A71" s="45">
        <v>2016</v>
      </c>
      <c r="B71" s="45" t="s">
        <v>190</v>
      </c>
      <c r="C71" s="45" t="s">
        <v>43</v>
      </c>
      <c r="D71" s="45" t="s">
        <v>195</v>
      </c>
      <c r="E71" s="45">
        <v>0.26600000000000001</v>
      </c>
      <c r="F71" s="45"/>
      <c r="G71" s="45">
        <v>1065.2795905779999</v>
      </c>
    </row>
    <row r="72" spans="1:7" x14ac:dyDescent="0.2">
      <c r="A72" s="44">
        <v>2016</v>
      </c>
      <c r="B72" s="44" t="s">
        <v>190</v>
      </c>
      <c r="C72" s="44" t="s">
        <v>43</v>
      </c>
      <c r="D72" s="44" t="s">
        <v>196</v>
      </c>
      <c r="E72" s="44">
        <v>0.29599999999999999</v>
      </c>
      <c r="F72" s="44"/>
      <c r="G72" s="44">
        <v>859.47198321368205</v>
      </c>
    </row>
    <row r="73" spans="1:7" x14ac:dyDescent="0.2">
      <c r="A73" s="45">
        <v>2016</v>
      </c>
      <c r="B73" s="45" t="s">
        <v>190</v>
      </c>
      <c r="C73" s="45" t="s">
        <v>43</v>
      </c>
      <c r="D73" s="45" t="s">
        <v>197</v>
      </c>
      <c r="E73" s="45">
        <v>0.28899999999999998</v>
      </c>
      <c r="F73" s="45"/>
      <c r="G73" s="45">
        <v>642.50906952854598</v>
      </c>
    </row>
    <row r="74" spans="1:7" x14ac:dyDescent="0.2">
      <c r="A74" s="44">
        <v>2016</v>
      </c>
      <c r="B74" s="44" t="s">
        <v>190</v>
      </c>
      <c r="C74" s="44" t="s">
        <v>43</v>
      </c>
      <c r="D74" s="44" t="s">
        <v>201</v>
      </c>
      <c r="E74" s="44">
        <v>0.21</v>
      </c>
      <c r="F74" s="44"/>
      <c r="G74" s="44">
        <v>550.35091145833303</v>
      </c>
    </row>
    <row r="75" spans="1:7" x14ac:dyDescent="0.2">
      <c r="A75" s="45">
        <v>2016</v>
      </c>
      <c r="B75" s="45" t="s">
        <v>190</v>
      </c>
      <c r="C75" s="45" t="s">
        <v>43</v>
      </c>
      <c r="D75" s="45" t="s">
        <v>202</v>
      </c>
      <c r="E75" s="45">
        <v>0.17</v>
      </c>
      <c r="F75" s="45"/>
      <c r="G75" s="45">
        <v>563.93422564338198</v>
      </c>
    </row>
    <row r="76" spans="1:7" x14ac:dyDescent="0.2">
      <c r="A76" s="44">
        <v>2016</v>
      </c>
      <c r="B76" s="44" t="s">
        <v>190</v>
      </c>
      <c r="C76" s="44" t="s">
        <v>43</v>
      </c>
      <c r="D76" s="44" t="s">
        <v>203</v>
      </c>
      <c r="E76" s="44">
        <v>0.126</v>
      </c>
      <c r="F76" s="44"/>
      <c r="G76" s="44">
        <v>541.05031622023796</v>
      </c>
    </row>
    <row r="77" spans="1:7" x14ac:dyDescent="0.2">
      <c r="A77" s="45">
        <v>2006</v>
      </c>
      <c r="B77" s="45" t="s">
        <v>190</v>
      </c>
      <c r="C77" s="45" t="s">
        <v>44</v>
      </c>
      <c r="D77" s="45" t="s">
        <v>101</v>
      </c>
      <c r="E77" s="45">
        <v>0.14799999999999999</v>
      </c>
      <c r="F77" s="45"/>
      <c r="G77" s="45">
        <v>2665.576</v>
      </c>
    </row>
    <row r="78" spans="1:7" x14ac:dyDescent="0.2">
      <c r="A78" s="44">
        <v>2006</v>
      </c>
      <c r="B78" s="44" t="s">
        <v>190</v>
      </c>
      <c r="C78" s="44" t="s">
        <v>43</v>
      </c>
      <c r="D78" s="44" t="s">
        <v>101</v>
      </c>
      <c r="E78" s="44">
        <v>0.21099999999999999</v>
      </c>
      <c r="F78" s="44"/>
      <c r="G78" s="44">
        <v>2841.9079999999999</v>
      </c>
    </row>
    <row r="79" spans="1:7" x14ac:dyDescent="0.2">
      <c r="A79" s="45">
        <v>2011</v>
      </c>
      <c r="B79" s="45" t="s">
        <v>190</v>
      </c>
      <c r="C79" s="45" t="s">
        <v>44</v>
      </c>
      <c r="D79" s="45" t="s">
        <v>101</v>
      </c>
      <c r="E79" s="45">
        <v>0.127</v>
      </c>
      <c r="F79" s="45"/>
      <c r="G79" s="45">
        <v>4260.8879999999999</v>
      </c>
    </row>
    <row r="80" spans="1:7" x14ac:dyDescent="0.2">
      <c r="A80" s="44">
        <v>2011</v>
      </c>
      <c r="B80" s="44" t="s">
        <v>190</v>
      </c>
      <c r="C80" s="44" t="s">
        <v>43</v>
      </c>
      <c r="D80" s="44" t="s">
        <v>101</v>
      </c>
      <c r="E80" s="44">
        <v>0.17699999999999999</v>
      </c>
      <c r="F80" s="44"/>
      <c r="G80" s="44">
        <v>4623.8789999999999</v>
      </c>
    </row>
    <row r="81" spans="1:7" x14ac:dyDescent="0.2">
      <c r="A81" s="45">
        <v>2015</v>
      </c>
      <c r="B81" s="45" t="s">
        <v>190</v>
      </c>
      <c r="C81" s="45" t="s">
        <v>44</v>
      </c>
      <c r="D81" s="45" t="s">
        <v>101</v>
      </c>
      <c r="E81" s="45">
        <v>0.105</v>
      </c>
      <c r="F81" s="45"/>
      <c r="G81" s="45">
        <v>3852.317</v>
      </c>
    </row>
    <row r="82" spans="1:7" x14ac:dyDescent="0.2">
      <c r="A82" s="44">
        <v>2015</v>
      </c>
      <c r="B82" s="44" t="s">
        <v>190</v>
      </c>
      <c r="C82" s="44" t="s">
        <v>43</v>
      </c>
      <c r="D82" s="44" t="s">
        <v>101</v>
      </c>
      <c r="E82" s="44">
        <v>0.16700000000000001</v>
      </c>
      <c r="F82" s="44"/>
      <c r="G82" s="44">
        <v>4049.98</v>
      </c>
    </row>
    <row r="83" spans="1:7" x14ac:dyDescent="0.2">
      <c r="A83" s="45"/>
      <c r="B83" s="45"/>
      <c r="C83" s="45"/>
      <c r="D83" s="45"/>
      <c r="E83" s="45"/>
      <c r="F83" s="45"/>
      <c r="G83" s="45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5"/>
      <c r="B85" s="45"/>
      <c r="C85" s="45"/>
      <c r="D85" s="45"/>
      <c r="E85" s="45"/>
      <c r="F85" s="45"/>
      <c r="G85" s="45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5"/>
      <c r="B87" s="45"/>
      <c r="C87" s="45"/>
      <c r="D87" s="45"/>
      <c r="E87" s="45"/>
      <c r="F87" s="45"/>
      <c r="G87" s="45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5"/>
      <c r="B89" s="45"/>
      <c r="C89" s="45"/>
      <c r="D89" s="45"/>
      <c r="E89" s="45"/>
      <c r="F89" s="45"/>
      <c r="G89" s="45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5"/>
      <c r="B91" s="45"/>
      <c r="C91" s="45"/>
      <c r="D91" s="45"/>
      <c r="E91" s="45"/>
      <c r="F91" s="45"/>
      <c r="G91" s="45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5"/>
      <c r="B93" s="45"/>
      <c r="C93" s="45"/>
      <c r="D93" s="45"/>
      <c r="E93" s="45"/>
      <c r="F93" s="45"/>
      <c r="G93" s="45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5"/>
      <c r="B95" s="45"/>
      <c r="C95" s="45"/>
      <c r="D95" s="45"/>
      <c r="E95" s="45"/>
      <c r="F95" s="45"/>
      <c r="G95" s="45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5"/>
      <c r="B97" s="45"/>
      <c r="C97" s="45"/>
      <c r="D97" s="45"/>
      <c r="E97" s="45"/>
      <c r="F97" s="45"/>
      <c r="G97" s="45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5"/>
      <c r="B99" s="45"/>
      <c r="C99" s="45"/>
      <c r="D99" s="45"/>
      <c r="E99" s="45"/>
      <c r="F99" s="45"/>
      <c r="G99" s="45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5"/>
      <c r="B101" s="45"/>
      <c r="C101" s="45"/>
      <c r="D101" s="45"/>
      <c r="E101" s="45"/>
      <c r="F101" s="45"/>
      <c r="G101" s="45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5"/>
      <c r="B103" s="45"/>
      <c r="C103" s="45"/>
      <c r="D103" s="45"/>
      <c r="E103" s="45"/>
      <c r="F103" s="45"/>
      <c r="G103" s="45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5"/>
      <c r="B105" s="45"/>
      <c r="C105" s="45"/>
      <c r="D105" s="45"/>
      <c r="E105" s="45"/>
      <c r="F105" s="45"/>
      <c r="G105" s="45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5"/>
      <c r="B107" s="45"/>
      <c r="C107" s="45"/>
      <c r="D107" s="45"/>
      <c r="E107" s="45"/>
      <c r="F107" s="45"/>
      <c r="G107" s="45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5"/>
      <c r="B109" s="45"/>
      <c r="C109" s="45"/>
      <c r="D109" s="45"/>
      <c r="E109" s="45"/>
      <c r="F109" s="45"/>
      <c r="G109" s="45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5"/>
      <c r="B111" s="45"/>
      <c r="C111" s="45"/>
      <c r="D111" s="45"/>
      <c r="E111" s="45"/>
      <c r="F111" s="45"/>
      <c r="G111" s="45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5"/>
      <c r="B113" s="45"/>
      <c r="C113" s="45"/>
      <c r="D113" s="45"/>
      <c r="E113" s="45"/>
      <c r="F113" s="45"/>
      <c r="G113" s="45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5"/>
      <c r="B115" s="45"/>
      <c r="C115" s="45"/>
      <c r="D115" s="45"/>
      <c r="E115" s="45"/>
      <c r="F115" s="45"/>
      <c r="G115" s="45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5"/>
      <c r="B117" s="45"/>
      <c r="C117" s="45"/>
      <c r="D117" s="45"/>
      <c r="E117" s="45"/>
      <c r="F117" s="45"/>
      <c r="G117" s="45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5"/>
      <c r="B119" s="45"/>
      <c r="C119" s="45"/>
      <c r="D119" s="45"/>
      <c r="E119" s="45"/>
      <c r="F119" s="45"/>
      <c r="G119" s="45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5"/>
      <c r="B121" s="45"/>
      <c r="C121" s="45"/>
      <c r="D121" s="45"/>
      <c r="E121" s="45"/>
      <c r="F121" s="45"/>
      <c r="G121" s="45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5"/>
      <c r="B123" s="45"/>
      <c r="C123" s="45"/>
      <c r="D123" s="45"/>
      <c r="E123" s="45"/>
      <c r="F123" s="45"/>
      <c r="G123" s="45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5"/>
      <c r="B125" s="45"/>
      <c r="C125" s="45"/>
      <c r="D125" s="45"/>
      <c r="E125" s="45"/>
      <c r="F125" s="45"/>
      <c r="G125" s="45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5"/>
      <c r="B127" s="45"/>
      <c r="C127" s="45"/>
      <c r="D127" s="45"/>
      <c r="E127" s="45"/>
      <c r="F127" s="45"/>
      <c r="G127" s="45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5"/>
      <c r="B129" s="45"/>
      <c r="C129" s="45"/>
      <c r="D129" s="45"/>
      <c r="E129" s="45"/>
      <c r="F129" s="45"/>
      <c r="G129" s="45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5"/>
      <c r="B131" s="45"/>
      <c r="C131" s="45"/>
      <c r="D131" s="45"/>
      <c r="E131" s="45"/>
      <c r="F131" s="45"/>
      <c r="G131" s="45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5"/>
      <c r="B133" s="45"/>
      <c r="C133" s="45"/>
      <c r="D133" s="45"/>
      <c r="E133" s="45"/>
      <c r="F133" s="45"/>
      <c r="G133" s="45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5"/>
      <c r="B135" s="45"/>
      <c r="C135" s="45"/>
      <c r="D135" s="45"/>
      <c r="E135" s="45"/>
      <c r="F135" s="45"/>
      <c r="G135" s="45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5"/>
      <c r="B137" s="45"/>
      <c r="C137" s="45"/>
      <c r="D137" s="45"/>
      <c r="E137" s="45"/>
      <c r="F137" s="45"/>
      <c r="G137" s="45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5"/>
      <c r="B139" s="45"/>
      <c r="C139" s="45"/>
      <c r="D139" s="45"/>
      <c r="E139" s="45"/>
      <c r="F139" s="45"/>
      <c r="G139" s="45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5"/>
      <c r="B141" s="45"/>
      <c r="C141" s="45"/>
      <c r="D141" s="45"/>
      <c r="E141" s="45"/>
      <c r="F141" s="45"/>
      <c r="G141" s="45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5"/>
      <c r="B143" s="45"/>
      <c r="C143" s="45"/>
      <c r="D143" s="45"/>
      <c r="E143" s="45"/>
      <c r="F143" s="45"/>
      <c r="G143" s="45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5"/>
      <c r="B145" s="45"/>
      <c r="C145" s="45"/>
      <c r="D145" s="45"/>
      <c r="E145" s="45"/>
      <c r="F145" s="45"/>
      <c r="G145" s="45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5"/>
      <c r="B147" s="45"/>
      <c r="C147" s="45"/>
      <c r="D147" s="45"/>
      <c r="E147" s="45"/>
      <c r="F147" s="45"/>
      <c r="G147" s="45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5"/>
      <c r="B149" s="45"/>
      <c r="C149" s="45"/>
      <c r="D149" s="45"/>
      <c r="E149" s="45"/>
      <c r="F149" s="45"/>
      <c r="G149" s="45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5"/>
      <c r="B151" s="45"/>
      <c r="C151" s="45"/>
      <c r="D151" s="45"/>
      <c r="E151" s="45"/>
      <c r="F151" s="45"/>
      <c r="G151" s="45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5"/>
      <c r="B153" s="45"/>
      <c r="C153" s="45"/>
      <c r="D153" s="45"/>
      <c r="E153" s="45"/>
      <c r="F153" s="45"/>
      <c r="G153" s="45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5"/>
      <c r="B155" s="45"/>
      <c r="C155" s="45"/>
      <c r="D155" s="45"/>
      <c r="E155" s="45"/>
      <c r="F155" s="45"/>
      <c r="G155" s="45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5"/>
      <c r="B157" s="45"/>
      <c r="C157" s="45"/>
      <c r="D157" s="45"/>
      <c r="E157" s="45"/>
      <c r="F157" s="45"/>
      <c r="G157" s="45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5"/>
      <c r="B159" s="45"/>
      <c r="C159" s="45"/>
      <c r="D159" s="45"/>
      <c r="E159" s="45"/>
      <c r="F159" s="45"/>
      <c r="G159" s="45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5"/>
      <c r="B161" s="45"/>
      <c r="C161" s="45"/>
      <c r="D161" s="45"/>
      <c r="E161" s="45"/>
      <c r="F161" s="45"/>
      <c r="G161" s="45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5"/>
      <c r="B163" s="45"/>
      <c r="C163" s="45"/>
      <c r="D163" s="45"/>
      <c r="E163" s="45"/>
      <c r="F163" s="45"/>
      <c r="G163" s="45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5"/>
      <c r="B165" s="45"/>
      <c r="C165" s="45"/>
      <c r="D165" s="45"/>
      <c r="E165" s="45"/>
      <c r="F165" s="45"/>
      <c r="G165" s="45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5"/>
      <c r="B167" s="45"/>
      <c r="C167" s="45"/>
      <c r="D167" s="45"/>
      <c r="E167" s="45"/>
      <c r="F167" s="45"/>
      <c r="G167" s="45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5"/>
      <c r="B169" s="45"/>
      <c r="C169" s="45"/>
      <c r="D169" s="45"/>
      <c r="E169" s="45"/>
      <c r="F169" s="45"/>
      <c r="G169" s="45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5"/>
      <c r="B171" s="45"/>
      <c r="C171" s="45"/>
      <c r="D171" s="45"/>
      <c r="E171" s="45"/>
      <c r="F171" s="45"/>
      <c r="G171" s="45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5"/>
      <c r="B173" s="45"/>
      <c r="C173" s="45"/>
      <c r="D173" s="45"/>
      <c r="E173" s="45"/>
      <c r="F173" s="45"/>
      <c r="G173" s="45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5"/>
      <c r="B175" s="45"/>
      <c r="C175" s="45"/>
      <c r="D175" s="45"/>
      <c r="E175" s="45"/>
      <c r="F175" s="45"/>
      <c r="G175" s="45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5"/>
      <c r="B177" s="45"/>
      <c r="C177" s="45"/>
      <c r="D177" s="45"/>
      <c r="E177" s="45"/>
      <c r="F177" s="45"/>
      <c r="G177" s="45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5"/>
      <c r="B179" s="45"/>
      <c r="C179" s="45"/>
      <c r="D179" s="45"/>
      <c r="E179" s="45"/>
      <c r="F179" s="45"/>
      <c r="G179" s="45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5"/>
      <c r="B181" s="45"/>
      <c r="C181" s="45"/>
      <c r="D181" s="45"/>
      <c r="E181" s="45"/>
      <c r="F181" s="45"/>
      <c r="G181" s="45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5"/>
      <c r="B183" s="45"/>
      <c r="C183" s="45"/>
      <c r="D183" s="45"/>
      <c r="E183" s="45"/>
      <c r="F183" s="45"/>
      <c r="G183" s="45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5"/>
      <c r="B185" s="45"/>
      <c r="C185" s="45"/>
      <c r="D185" s="45"/>
      <c r="E185" s="45"/>
      <c r="F185" s="45"/>
      <c r="G185" s="45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5"/>
      <c r="B187" s="45"/>
      <c r="C187" s="45"/>
      <c r="D187" s="45"/>
      <c r="E187" s="45"/>
      <c r="F187" s="45"/>
      <c r="G187" s="45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5"/>
      <c r="B189" s="45"/>
      <c r="C189" s="45"/>
      <c r="D189" s="45"/>
      <c r="E189" s="45"/>
      <c r="F189" s="45"/>
      <c r="G189" s="45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5"/>
      <c r="B191" s="45"/>
      <c r="C191" s="45"/>
      <c r="D191" s="45"/>
      <c r="E191" s="45"/>
      <c r="F191" s="45"/>
      <c r="G191" s="45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5"/>
      <c r="B193" s="45"/>
      <c r="C193" s="45"/>
      <c r="D193" s="45"/>
      <c r="E193" s="45"/>
      <c r="F193" s="45"/>
      <c r="G193" s="45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5"/>
      <c r="B195" s="45"/>
      <c r="C195" s="45"/>
      <c r="D195" s="45"/>
      <c r="E195" s="45"/>
      <c r="F195" s="45"/>
      <c r="G195" s="45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5"/>
      <c r="B197" s="45"/>
      <c r="C197" s="45"/>
      <c r="D197" s="45"/>
      <c r="E197" s="45"/>
      <c r="F197" s="45"/>
      <c r="G197" s="45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5"/>
      <c r="B199" s="45"/>
      <c r="C199" s="45"/>
      <c r="D199" s="45"/>
      <c r="E199" s="45"/>
      <c r="F199" s="45"/>
      <c r="G199" s="45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5"/>
      <c r="B201" s="45"/>
      <c r="C201" s="45"/>
      <c r="D201" s="45"/>
      <c r="E201" s="45"/>
      <c r="F201" s="45"/>
      <c r="G201" s="45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5"/>
      <c r="B203" s="45"/>
      <c r="C203" s="45"/>
      <c r="D203" s="45"/>
      <c r="E203" s="45"/>
      <c r="F203" s="45"/>
      <c r="G203" s="45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5"/>
      <c r="B205" s="45"/>
      <c r="C205" s="45"/>
      <c r="D205" s="45"/>
      <c r="E205" s="45"/>
      <c r="F205" s="45"/>
      <c r="G205" s="45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5"/>
      <c r="B207" s="45"/>
      <c r="C207" s="45"/>
      <c r="D207" s="45"/>
      <c r="E207" s="45"/>
      <c r="F207" s="45"/>
      <c r="G207" s="45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5"/>
      <c r="B209" s="45"/>
      <c r="C209" s="45"/>
      <c r="D209" s="45"/>
      <c r="E209" s="45"/>
      <c r="F209" s="45"/>
      <c r="G209" s="45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5"/>
      <c r="B211" s="45"/>
      <c r="C211" s="45"/>
      <c r="D211" s="45"/>
      <c r="E211" s="45"/>
      <c r="F211" s="45"/>
      <c r="G211" s="45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5"/>
      <c r="B213" s="45"/>
      <c r="C213" s="45"/>
      <c r="D213" s="45"/>
      <c r="E213" s="45"/>
      <c r="F213" s="45"/>
      <c r="G213" s="45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5"/>
      <c r="B215" s="45"/>
      <c r="C215" s="45"/>
      <c r="D215" s="45"/>
      <c r="E215" s="45"/>
      <c r="F215" s="45"/>
      <c r="G215" s="45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5"/>
      <c r="B217" s="45"/>
      <c r="C217" s="45"/>
      <c r="D217" s="45"/>
      <c r="E217" s="45"/>
      <c r="F217" s="45"/>
      <c r="G217" s="45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5"/>
      <c r="B219" s="45"/>
      <c r="C219" s="45"/>
      <c r="D219" s="45"/>
      <c r="E219" s="45"/>
      <c r="F219" s="45"/>
      <c r="G219" s="45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5"/>
      <c r="B221" s="45"/>
      <c r="C221" s="45"/>
      <c r="D221" s="45"/>
      <c r="E221" s="45"/>
      <c r="F221" s="45"/>
      <c r="G221" s="45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5"/>
      <c r="B223" s="45"/>
      <c r="C223" s="45"/>
      <c r="D223" s="45"/>
      <c r="E223" s="45"/>
      <c r="F223" s="45"/>
      <c r="G223" s="45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5"/>
      <c r="B225" s="45"/>
      <c r="C225" s="45"/>
      <c r="D225" s="45"/>
      <c r="E225" s="45"/>
      <c r="F225" s="45"/>
      <c r="G225" s="45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5"/>
      <c r="B227" s="45"/>
      <c r="C227" s="45"/>
      <c r="D227" s="45"/>
      <c r="E227" s="45"/>
      <c r="F227" s="45"/>
      <c r="G227" s="45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5"/>
      <c r="B229" s="45"/>
      <c r="C229" s="45"/>
      <c r="D229" s="45"/>
      <c r="E229" s="45"/>
      <c r="F229" s="45"/>
      <c r="G229" s="45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5"/>
      <c r="B231" s="45"/>
      <c r="C231" s="45"/>
      <c r="D231" s="45"/>
      <c r="E231" s="45"/>
      <c r="F231" s="45"/>
      <c r="G231" s="45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5"/>
      <c r="B233" s="45"/>
      <c r="C233" s="45"/>
      <c r="D233" s="45"/>
      <c r="E233" s="45"/>
      <c r="F233" s="45"/>
      <c r="G233" s="45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5"/>
      <c r="B235" s="45"/>
      <c r="C235" s="45"/>
      <c r="D235" s="45"/>
      <c r="E235" s="45"/>
      <c r="F235" s="45"/>
      <c r="G235" s="45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5"/>
      <c r="B237" s="45"/>
      <c r="C237" s="45"/>
      <c r="D237" s="45"/>
      <c r="E237" s="45"/>
      <c r="F237" s="45"/>
      <c r="G237" s="45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5"/>
      <c r="B239" s="45"/>
      <c r="C239" s="45"/>
      <c r="D239" s="45"/>
      <c r="E239" s="45"/>
      <c r="F239" s="45"/>
      <c r="G239" s="45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5"/>
      <c r="B241" s="45"/>
      <c r="C241" s="45"/>
      <c r="D241" s="45"/>
      <c r="E241" s="45"/>
      <c r="F241" s="45"/>
      <c r="G241" s="45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5"/>
      <c r="B243" s="45"/>
      <c r="C243" s="45"/>
      <c r="D243" s="45"/>
      <c r="E243" s="45"/>
      <c r="F243" s="45"/>
      <c r="G243" s="45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5"/>
      <c r="B245" s="45"/>
      <c r="C245" s="45"/>
      <c r="D245" s="45"/>
      <c r="E245" s="45"/>
      <c r="F245" s="45"/>
      <c r="G245" s="45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5"/>
      <c r="B247" s="45"/>
      <c r="C247" s="45"/>
      <c r="D247" s="45"/>
      <c r="E247" s="45"/>
      <c r="F247" s="45"/>
      <c r="G247" s="45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5"/>
      <c r="B249" s="45"/>
      <c r="C249" s="45"/>
      <c r="D249" s="45"/>
      <c r="E249" s="45"/>
      <c r="F249" s="45"/>
      <c r="G249" s="45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5"/>
      <c r="B251" s="45"/>
      <c r="C251" s="45"/>
      <c r="D251" s="45"/>
      <c r="E251" s="45"/>
      <c r="F251" s="45"/>
      <c r="G251" s="45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5"/>
      <c r="B253" s="45"/>
      <c r="C253" s="45"/>
      <c r="D253" s="45"/>
      <c r="E253" s="45"/>
      <c r="F253" s="45"/>
      <c r="G253" s="45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5"/>
      <c r="B255" s="45"/>
      <c r="C255" s="45"/>
      <c r="D255" s="45"/>
      <c r="E255" s="45"/>
      <c r="F255" s="45"/>
      <c r="G255" s="45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5"/>
      <c r="B297" s="45"/>
      <c r="C297" s="45"/>
      <c r="D297" s="45"/>
      <c r="E297" s="45"/>
      <c r="F297" s="45"/>
      <c r="G297" s="45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5"/>
      <c r="B299" s="45"/>
      <c r="C299" s="45"/>
      <c r="D299" s="45"/>
      <c r="E299" s="45"/>
      <c r="F299" s="45"/>
      <c r="G299" s="45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5"/>
      <c r="B301" s="45"/>
      <c r="C301" s="45"/>
      <c r="D301" s="45"/>
      <c r="E301" s="45"/>
      <c r="F301" s="45"/>
      <c r="G301" s="45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5"/>
      <c r="B303" s="45"/>
      <c r="C303" s="45"/>
      <c r="D303" s="45"/>
      <c r="E303" s="45"/>
      <c r="F303" s="45"/>
      <c r="G303" s="45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5"/>
      <c r="B305" s="45"/>
      <c r="C305" s="45"/>
      <c r="D305" s="45"/>
      <c r="E305" s="45"/>
      <c r="F305" s="45"/>
      <c r="G305" s="45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5"/>
      <c r="B307" s="45"/>
      <c r="C307" s="45"/>
      <c r="D307" s="45"/>
      <c r="E307" s="45"/>
      <c r="F307" s="45"/>
      <c r="G307" s="45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5"/>
      <c r="B309" s="45"/>
      <c r="C309" s="45"/>
      <c r="D309" s="45"/>
      <c r="E309" s="45"/>
      <c r="F309" s="45"/>
      <c r="G309" s="45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5"/>
      <c r="B311" s="45"/>
      <c r="C311" s="45"/>
      <c r="D311" s="45"/>
      <c r="E311" s="45"/>
      <c r="F311" s="45"/>
      <c r="G311" s="45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5"/>
      <c r="B313" s="45"/>
      <c r="C313" s="45"/>
      <c r="D313" s="45"/>
      <c r="E313" s="45"/>
      <c r="F313" s="45"/>
      <c r="G313" s="45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5"/>
      <c r="B315" s="45"/>
      <c r="C315" s="45"/>
      <c r="D315" s="45"/>
      <c r="E315" s="45"/>
      <c r="F315" s="45"/>
      <c r="G315" s="45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5"/>
      <c r="B317" s="45"/>
      <c r="C317" s="45"/>
      <c r="D317" s="45"/>
      <c r="E317" s="45"/>
      <c r="F317" s="45"/>
      <c r="G317" s="45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5"/>
      <c r="B319" s="45"/>
      <c r="C319" s="45"/>
      <c r="D319" s="45"/>
      <c r="E319" s="45"/>
      <c r="F319" s="45"/>
      <c r="G319" s="45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5"/>
      <c r="B321" s="45"/>
      <c r="C321" s="45"/>
      <c r="D321" s="45"/>
      <c r="E321" s="45"/>
      <c r="F321" s="45"/>
      <c r="G321" s="45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5"/>
      <c r="B323" s="45"/>
      <c r="C323" s="45"/>
      <c r="D323" s="45"/>
      <c r="E323" s="45"/>
      <c r="F323" s="45"/>
      <c r="G323" s="45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5"/>
      <c r="B325" s="45"/>
      <c r="C325" s="45"/>
      <c r="D325" s="45"/>
      <c r="E325" s="45"/>
      <c r="F325" s="45"/>
      <c r="G325" s="45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5"/>
      <c r="B327" s="45"/>
      <c r="C327" s="45"/>
      <c r="D327" s="45"/>
      <c r="E327" s="45"/>
      <c r="F327" s="45"/>
      <c r="G327" s="45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5"/>
      <c r="B329" s="45"/>
      <c r="C329" s="45"/>
      <c r="D329" s="45"/>
      <c r="E329" s="45"/>
      <c r="F329" s="45"/>
      <c r="G329" s="45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5"/>
      <c r="B331" s="45"/>
      <c r="C331" s="45"/>
      <c r="D331" s="45"/>
      <c r="E331" s="45"/>
      <c r="F331" s="45"/>
      <c r="G331" s="45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5"/>
      <c r="B333" s="45"/>
      <c r="C333" s="45"/>
      <c r="D333" s="45"/>
      <c r="E333" s="45"/>
      <c r="F333" s="45"/>
      <c r="G333" s="45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5"/>
      <c r="B335" s="45"/>
      <c r="C335" s="45"/>
      <c r="D335" s="45"/>
      <c r="E335" s="45"/>
      <c r="F335" s="45"/>
      <c r="G335" s="45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5"/>
      <c r="B337" s="45"/>
      <c r="C337" s="45"/>
      <c r="D337" s="45"/>
      <c r="E337" s="45"/>
      <c r="F337" s="45"/>
      <c r="G337" s="45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5"/>
      <c r="B339" s="45"/>
      <c r="C339" s="45"/>
      <c r="D339" s="45"/>
      <c r="E339" s="45"/>
      <c r="F339" s="45"/>
      <c r="G339" s="45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5"/>
      <c r="B341" s="45"/>
      <c r="C341" s="45"/>
      <c r="D341" s="45"/>
      <c r="E341" s="45"/>
      <c r="F341" s="45"/>
      <c r="G341" s="45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5"/>
      <c r="B343" s="45"/>
      <c r="C343" s="45"/>
      <c r="D343" s="45"/>
      <c r="E343" s="45"/>
      <c r="F343" s="45"/>
      <c r="G343" s="45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5"/>
      <c r="B345" s="45"/>
      <c r="C345" s="45"/>
      <c r="D345" s="45"/>
      <c r="E345" s="45"/>
      <c r="F345" s="45"/>
      <c r="G345" s="45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5"/>
      <c r="B347" s="45"/>
      <c r="C347" s="45"/>
      <c r="D347" s="45"/>
      <c r="E347" s="45"/>
      <c r="F347" s="45"/>
      <c r="G347" s="45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5"/>
      <c r="B349" s="45"/>
      <c r="C349" s="45"/>
      <c r="D349" s="45"/>
      <c r="E349" s="45"/>
      <c r="F349" s="45"/>
      <c r="G349" s="45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5"/>
      <c r="B351" s="45"/>
      <c r="C351" s="45"/>
      <c r="D351" s="45"/>
      <c r="E351" s="45"/>
      <c r="F351" s="45"/>
      <c r="G351" s="45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5"/>
      <c r="B353" s="45"/>
      <c r="C353" s="45"/>
      <c r="D353" s="45"/>
      <c r="E353" s="45"/>
      <c r="F353" s="45"/>
      <c r="G353" s="45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5"/>
      <c r="B355" s="45"/>
      <c r="C355" s="45"/>
      <c r="D355" s="45"/>
      <c r="E355" s="45"/>
      <c r="F355" s="45"/>
      <c r="G355" s="45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5"/>
      <c r="B357" s="45"/>
      <c r="C357" s="45"/>
      <c r="D357" s="45"/>
      <c r="E357" s="45"/>
      <c r="F357" s="45"/>
      <c r="G357" s="45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5"/>
      <c r="B359" s="45"/>
      <c r="C359" s="45"/>
      <c r="D359" s="45"/>
      <c r="E359" s="45"/>
      <c r="F359" s="45"/>
      <c r="G359" s="45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5"/>
      <c r="B361" s="45"/>
      <c r="C361" s="45"/>
      <c r="D361" s="45"/>
      <c r="E361" s="45"/>
      <c r="F361" s="45"/>
      <c r="G361" s="45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5"/>
      <c r="B363" s="45"/>
      <c r="C363" s="45"/>
      <c r="D363" s="45"/>
      <c r="E363" s="45"/>
      <c r="F363" s="45"/>
      <c r="G363" s="45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5"/>
      <c r="B365" s="45"/>
      <c r="C365" s="45"/>
      <c r="D365" s="45"/>
      <c r="E365" s="45"/>
      <c r="F365" s="45"/>
      <c r="G365" s="45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5"/>
      <c r="B367" s="45"/>
      <c r="C367" s="45"/>
      <c r="D367" s="45"/>
      <c r="E367" s="45"/>
      <c r="F367" s="45"/>
      <c r="G367" s="45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5"/>
      <c r="B369" s="45"/>
      <c r="C369" s="45"/>
      <c r="D369" s="45"/>
      <c r="E369" s="45"/>
      <c r="F369" s="45"/>
      <c r="G369" s="45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5"/>
      <c r="B371" s="45"/>
      <c r="C371" s="45"/>
      <c r="D371" s="45"/>
      <c r="E371" s="45"/>
      <c r="F371" s="45"/>
      <c r="G371" s="45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5"/>
      <c r="B373" s="45"/>
      <c r="C373" s="45"/>
      <c r="D373" s="45"/>
      <c r="E373" s="45"/>
      <c r="F373" s="45"/>
      <c r="G373" s="45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5"/>
      <c r="B375" s="45"/>
      <c r="C375" s="45"/>
      <c r="D375" s="45"/>
      <c r="E375" s="45"/>
      <c r="F375" s="45"/>
      <c r="G375" s="45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5"/>
      <c r="B377" s="45"/>
      <c r="C377" s="45"/>
      <c r="D377" s="45"/>
      <c r="E377" s="45"/>
      <c r="F377" s="45"/>
      <c r="G377" s="45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5"/>
      <c r="B379" s="45"/>
      <c r="C379" s="45"/>
      <c r="D379" s="45"/>
      <c r="E379" s="45"/>
      <c r="F379" s="45"/>
      <c r="G379" s="45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5"/>
      <c r="B381" s="45"/>
      <c r="C381" s="45"/>
      <c r="D381" s="45"/>
      <c r="E381" s="45"/>
      <c r="F381" s="45"/>
      <c r="G381" s="45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5"/>
      <c r="B383" s="45"/>
      <c r="C383" s="45"/>
      <c r="D383" s="45"/>
      <c r="E383" s="45"/>
      <c r="F383" s="45"/>
      <c r="G383" s="45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5"/>
      <c r="B385" s="45"/>
      <c r="C385" s="45"/>
      <c r="D385" s="45"/>
      <c r="E385" s="45"/>
      <c r="F385" s="45"/>
      <c r="G385" s="45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5"/>
      <c r="B387" s="45"/>
      <c r="C387" s="45"/>
      <c r="D387" s="45"/>
      <c r="E387" s="45"/>
      <c r="F387" s="45"/>
      <c r="G387" s="45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5"/>
      <c r="B389" s="45"/>
      <c r="C389" s="45"/>
      <c r="D389" s="45"/>
      <c r="E389" s="45"/>
      <c r="F389" s="45"/>
      <c r="G389" s="45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5"/>
      <c r="B391" s="45"/>
      <c r="C391" s="45"/>
      <c r="D391" s="45"/>
      <c r="E391" s="45"/>
      <c r="F391" s="45"/>
      <c r="G391" s="45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5"/>
      <c r="B393" s="45"/>
      <c r="C393" s="45"/>
      <c r="D393" s="45"/>
      <c r="E393" s="45"/>
      <c r="F393" s="45"/>
      <c r="G393" s="45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5"/>
      <c r="B395" s="45"/>
      <c r="C395" s="45"/>
      <c r="D395" s="45"/>
      <c r="E395" s="45"/>
      <c r="F395" s="45"/>
      <c r="G395" s="45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5"/>
      <c r="B397" s="45"/>
      <c r="C397" s="45"/>
      <c r="D397" s="45"/>
      <c r="E397" s="45"/>
      <c r="F397" s="45"/>
      <c r="G397" s="45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5"/>
      <c r="B399" s="45"/>
      <c r="C399" s="45"/>
      <c r="D399" s="45"/>
      <c r="E399" s="45"/>
      <c r="F399" s="45"/>
      <c r="G399" s="45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5"/>
      <c r="B401" s="45"/>
      <c r="C401" s="45"/>
      <c r="D401" s="45"/>
      <c r="E401" s="45"/>
      <c r="F401" s="45"/>
      <c r="G401" s="45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5"/>
      <c r="B403" s="45"/>
      <c r="C403" s="45"/>
      <c r="D403" s="45"/>
      <c r="E403" s="45"/>
      <c r="F403" s="45"/>
      <c r="G403" s="45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5"/>
      <c r="B405" s="45"/>
      <c r="C405" s="45"/>
      <c r="D405" s="45"/>
      <c r="E405" s="45"/>
      <c r="F405" s="45"/>
      <c r="G405" s="45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5"/>
      <c r="B407" s="45"/>
      <c r="C407" s="45"/>
      <c r="D407" s="45"/>
      <c r="E407" s="45"/>
      <c r="F407" s="45"/>
      <c r="G407" s="45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5"/>
      <c r="B409" s="45"/>
      <c r="C409" s="45"/>
      <c r="D409" s="45"/>
      <c r="E409" s="45"/>
      <c r="F409" s="45"/>
      <c r="G409" s="45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5"/>
      <c r="B411" s="45"/>
      <c r="C411" s="45"/>
      <c r="D411" s="45"/>
      <c r="E411" s="45"/>
      <c r="F411" s="45"/>
      <c r="G411" s="45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5"/>
      <c r="B413" s="45"/>
      <c r="C413" s="45"/>
      <c r="D413" s="45"/>
      <c r="E413" s="45"/>
      <c r="F413" s="45"/>
      <c r="G413" s="45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5"/>
      <c r="B415" s="45"/>
      <c r="C415" s="45"/>
      <c r="D415" s="45"/>
      <c r="E415" s="45"/>
      <c r="F415" s="45"/>
      <c r="G415" s="45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5"/>
      <c r="B417" s="45"/>
      <c r="C417" s="45"/>
      <c r="D417" s="45"/>
      <c r="E417" s="45"/>
      <c r="F417" s="45"/>
      <c r="G417" s="45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5"/>
      <c r="B419" s="45"/>
      <c r="C419" s="45"/>
      <c r="D419" s="45"/>
      <c r="E419" s="45"/>
      <c r="F419" s="45"/>
      <c r="G419" s="45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5"/>
      <c r="B421" s="45"/>
      <c r="C421" s="45"/>
      <c r="D421" s="45"/>
      <c r="E421" s="45"/>
      <c r="F421" s="45"/>
      <c r="G421" s="45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5"/>
      <c r="B423" s="45"/>
      <c r="C423" s="45"/>
      <c r="D423" s="45"/>
      <c r="E423" s="45"/>
      <c r="F423" s="45"/>
      <c r="G423" s="45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5"/>
      <c r="B425" s="45"/>
      <c r="C425" s="45"/>
      <c r="D425" s="45"/>
      <c r="E425" s="45"/>
      <c r="F425" s="45"/>
      <c r="G425" s="45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5"/>
      <c r="B427" s="45"/>
      <c r="C427" s="45"/>
      <c r="D427" s="45"/>
      <c r="E427" s="45"/>
      <c r="F427" s="45"/>
      <c r="G427" s="45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5"/>
      <c r="B429" s="45"/>
      <c r="C429" s="45"/>
      <c r="D429" s="45"/>
      <c r="E429" s="45"/>
      <c r="F429" s="45"/>
      <c r="G429" s="45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5"/>
      <c r="B431" s="45"/>
      <c r="C431" s="45"/>
      <c r="D431" s="45"/>
      <c r="E431" s="45"/>
      <c r="F431" s="45"/>
      <c r="G431" s="45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5"/>
      <c r="B433" s="45"/>
      <c r="C433" s="45"/>
      <c r="D433" s="45"/>
      <c r="E433" s="45"/>
      <c r="F433" s="45"/>
      <c r="G433" s="45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5"/>
      <c r="B435" s="45"/>
      <c r="C435" s="45"/>
      <c r="D435" s="45"/>
      <c r="E435" s="45"/>
      <c r="F435" s="45"/>
      <c r="G435" s="45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5"/>
      <c r="B437" s="45"/>
      <c r="C437" s="45"/>
      <c r="D437" s="45"/>
      <c r="E437" s="45"/>
      <c r="F437" s="45"/>
      <c r="G437" s="45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5"/>
      <c r="B439" s="45"/>
      <c r="C439" s="45"/>
      <c r="D439" s="45"/>
      <c r="E439" s="45"/>
      <c r="F439" s="45"/>
      <c r="G439" s="45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5"/>
      <c r="B441" s="45"/>
      <c r="C441" s="45"/>
      <c r="D441" s="45"/>
      <c r="E441" s="45"/>
      <c r="F441" s="45"/>
      <c r="G441" s="45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5"/>
      <c r="B443" s="45"/>
      <c r="C443" s="45"/>
      <c r="D443" s="45"/>
      <c r="E443" s="45"/>
      <c r="F443" s="45"/>
      <c r="G443" s="45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5"/>
      <c r="B445" s="45"/>
      <c r="C445" s="45"/>
      <c r="D445" s="45"/>
      <c r="E445" s="45"/>
      <c r="F445" s="45"/>
      <c r="G445" s="45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5"/>
      <c r="B447" s="45"/>
      <c r="C447" s="45"/>
      <c r="D447" s="45"/>
      <c r="E447" s="45"/>
      <c r="F447" s="45"/>
      <c r="G447" s="45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5"/>
      <c r="B449" s="45"/>
      <c r="C449" s="45"/>
      <c r="D449" s="45"/>
      <c r="E449" s="45"/>
      <c r="F449" s="45"/>
      <c r="G449" s="45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5"/>
      <c r="B451" s="45"/>
      <c r="C451" s="45"/>
      <c r="D451" s="45"/>
      <c r="E451" s="45"/>
      <c r="F451" s="45"/>
      <c r="G451" s="45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5"/>
      <c r="B453" s="45"/>
      <c r="C453" s="45"/>
      <c r="D453" s="45"/>
      <c r="E453" s="45"/>
      <c r="F453" s="45"/>
      <c r="G453" s="45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5"/>
      <c r="B455" s="45"/>
      <c r="C455" s="45"/>
      <c r="D455" s="45"/>
      <c r="E455" s="45"/>
      <c r="F455" s="45"/>
      <c r="G455" s="45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5"/>
      <c r="B457" s="45"/>
      <c r="C457" s="45"/>
      <c r="D457" s="45"/>
      <c r="E457" s="45"/>
      <c r="F457" s="45"/>
      <c r="G457" s="45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5"/>
      <c r="B459" s="45"/>
      <c r="C459" s="45"/>
      <c r="D459" s="45"/>
      <c r="E459" s="45"/>
      <c r="F459" s="45"/>
      <c r="G459" s="45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5"/>
      <c r="B461" s="45"/>
      <c r="C461" s="45"/>
      <c r="D461" s="45"/>
      <c r="E461" s="45"/>
      <c r="F461" s="45"/>
      <c r="G461" s="45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5"/>
      <c r="B463" s="45"/>
      <c r="C463" s="45"/>
      <c r="D463" s="45"/>
      <c r="E463" s="45"/>
      <c r="F463" s="45"/>
      <c r="G463" s="45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5"/>
      <c r="B465" s="45"/>
      <c r="C465" s="45"/>
      <c r="D465" s="45"/>
      <c r="E465" s="45"/>
      <c r="F465" s="45"/>
      <c r="G465" s="45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5"/>
      <c r="B467" s="45"/>
      <c r="C467" s="45"/>
      <c r="D467" s="45"/>
      <c r="E467" s="45"/>
      <c r="F467" s="45"/>
      <c r="G467" s="45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5"/>
      <c r="B469" s="45"/>
      <c r="C469" s="45"/>
      <c r="D469" s="45"/>
      <c r="E469" s="45"/>
      <c r="F469" s="45"/>
      <c r="G469" s="45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5"/>
      <c r="B471" s="45"/>
      <c r="C471" s="45"/>
      <c r="D471" s="45"/>
      <c r="E471" s="45"/>
      <c r="F471" s="45"/>
      <c r="G471" s="45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5"/>
      <c r="B473" s="45"/>
      <c r="C473" s="45"/>
      <c r="D473" s="45"/>
      <c r="E473" s="45"/>
      <c r="F473" s="45"/>
      <c r="G473" s="45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5"/>
      <c r="B475" s="45"/>
      <c r="C475" s="45"/>
      <c r="D475" s="45"/>
      <c r="E475" s="45"/>
      <c r="F475" s="45"/>
      <c r="G475" s="45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5"/>
      <c r="B477" s="45"/>
      <c r="C477" s="45"/>
      <c r="D477" s="45"/>
      <c r="E477" s="45"/>
      <c r="F477" s="45"/>
      <c r="G477" s="45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5"/>
      <c r="B479" s="45"/>
      <c r="C479" s="45"/>
      <c r="D479" s="45"/>
      <c r="E479" s="45"/>
      <c r="F479" s="45"/>
      <c r="G479" s="45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5"/>
      <c r="B481" s="45"/>
      <c r="C481" s="45"/>
      <c r="D481" s="45"/>
      <c r="E481" s="45"/>
      <c r="F481" s="45"/>
      <c r="G481" s="45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5"/>
      <c r="B483" s="45"/>
      <c r="C483" s="45"/>
      <c r="D483" s="45"/>
      <c r="E483" s="45"/>
      <c r="F483" s="45"/>
      <c r="G483" s="45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5"/>
      <c r="B485" s="45"/>
      <c r="C485" s="45"/>
      <c r="D485" s="45"/>
      <c r="E485" s="45"/>
      <c r="F485" s="45"/>
      <c r="G485" s="45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5"/>
      <c r="B487" s="45"/>
      <c r="C487" s="45"/>
      <c r="D487" s="45"/>
      <c r="E487" s="45"/>
      <c r="F487" s="45"/>
      <c r="G487" s="45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5"/>
      <c r="B489" s="45"/>
      <c r="C489" s="45"/>
      <c r="D489" s="45"/>
      <c r="E489" s="45"/>
      <c r="F489" s="45"/>
      <c r="G489" s="45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5"/>
      <c r="B491" s="45"/>
      <c r="C491" s="45"/>
      <c r="D491" s="45"/>
      <c r="E491" s="45"/>
      <c r="F491" s="45"/>
      <c r="G491" s="45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5"/>
      <c r="B493" s="45"/>
      <c r="C493" s="45"/>
      <c r="D493" s="45"/>
      <c r="E493" s="45"/>
      <c r="F493" s="45"/>
      <c r="G493" s="45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5"/>
      <c r="B495" s="45"/>
      <c r="C495" s="45"/>
      <c r="D495" s="45"/>
      <c r="E495" s="45"/>
      <c r="F495" s="45"/>
      <c r="G495" s="45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5"/>
      <c r="B497" s="45"/>
      <c r="C497" s="45"/>
      <c r="D497" s="45"/>
      <c r="E497" s="45"/>
      <c r="F497" s="45"/>
      <c r="G497" s="45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5"/>
      <c r="B499" s="45"/>
      <c r="C499" s="45"/>
      <c r="D499" s="45"/>
      <c r="E499" s="45"/>
      <c r="F499" s="45"/>
      <c r="G499" s="45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5"/>
      <c r="B501" s="45"/>
      <c r="C501" s="45"/>
      <c r="D501" s="45"/>
      <c r="E501" s="45"/>
      <c r="F501" s="45"/>
      <c r="G501" s="45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5"/>
      <c r="B503" s="45"/>
      <c r="C503" s="45"/>
      <c r="D503" s="45"/>
      <c r="E503" s="45"/>
      <c r="F503" s="45"/>
      <c r="G503" s="45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5"/>
      <c r="B505" s="45"/>
      <c r="C505" s="45"/>
      <c r="D505" s="45"/>
      <c r="E505" s="45"/>
      <c r="F505" s="45"/>
      <c r="G505" s="45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5"/>
      <c r="B507" s="45"/>
      <c r="C507" s="45"/>
      <c r="D507" s="45"/>
      <c r="E507" s="45"/>
      <c r="F507" s="45"/>
      <c r="G507" s="45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5"/>
      <c r="B509" s="45"/>
      <c r="C509" s="45"/>
      <c r="D509" s="45"/>
      <c r="E509" s="45"/>
      <c r="F509" s="45"/>
      <c r="G509" s="45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5"/>
      <c r="B511" s="45"/>
      <c r="C511" s="45"/>
      <c r="D511" s="45"/>
      <c r="E511" s="45"/>
      <c r="F511" s="45"/>
      <c r="G511" s="45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5"/>
      <c r="B513" s="45"/>
      <c r="C513" s="45"/>
      <c r="D513" s="45"/>
      <c r="E513" s="45"/>
      <c r="F513" s="45"/>
      <c r="G513" s="45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5"/>
      <c r="B515" s="45"/>
      <c r="C515" s="45"/>
      <c r="D515" s="45"/>
      <c r="E515" s="45"/>
      <c r="F515" s="45"/>
      <c r="G515" s="45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5"/>
      <c r="B517" s="45"/>
      <c r="C517" s="45"/>
      <c r="D517" s="45"/>
      <c r="E517" s="45"/>
      <c r="F517" s="45"/>
      <c r="G517" s="45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5"/>
      <c r="B519" s="45"/>
      <c r="C519" s="45"/>
      <c r="D519" s="45"/>
      <c r="E519" s="45"/>
      <c r="F519" s="45"/>
      <c r="G519" s="45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5"/>
      <c r="B521" s="45"/>
      <c r="C521" s="45"/>
      <c r="D521" s="45"/>
      <c r="E521" s="45"/>
      <c r="F521" s="45"/>
      <c r="G521" s="45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5"/>
      <c r="B523" s="45"/>
      <c r="C523" s="45"/>
      <c r="D523" s="45"/>
      <c r="E523" s="45"/>
      <c r="F523" s="45"/>
      <c r="G523" s="45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5"/>
      <c r="B525" s="45"/>
      <c r="C525" s="45"/>
      <c r="D525" s="45"/>
      <c r="E525" s="45"/>
      <c r="F525" s="45"/>
      <c r="G525" s="45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5"/>
      <c r="B527" s="45"/>
      <c r="C527" s="45"/>
      <c r="D527" s="45"/>
      <c r="E527" s="45"/>
      <c r="F527" s="45"/>
      <c r="G527" s="45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5"/>
      <c r="B529" s="45"/>
      <c r="C529" s="45"/>
      <c r="D529" s="45"/>
      <c r="E529" s="45"/>
      <c r="F529" s="45"/>
      <c r="G529" s="45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5"/>
      <c r="B531" s="45"/>
      <c r="C531" s="45"/>
      <c r="D531" s="45"/>
      <c r="E531" s="45"/>
      <c r="F531" s="45"/>
      <c r="G531" s="45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5"/>
      <c r="B533" s="45"/>
      <c r="C533" s="45"/>
      <c r="D533" s="45"/>
      <c r="E533" s="45"/>
      <c r="F533" s="45"/>
      <c r="G533" s="45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5"/>
      <c r="B535" s="45"/>
      <c r="C535" s="45"/>
      <c r="D535" s="45"/>
      <c r="E535" s="45"/>
      <c r="F535" s="45"/>
      <c r="G535" s="45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5"/>
      <c r="B537" s="45"/>
      <c r="C537" s="45"/>
      <c r="D537" s="45"/>
      <c r="E537" s="45"/>
      <c r="F537" s="45"/>
      <c r="G537" s="45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5"/>
      <c r="B539" s="45"/>
      <c r="C539" s="45"/>
      <c r="D539" s="45"/>
      <c r="E539" s="45"/>
      <c r="F539" s="45"/>
      <c r="G539" s="45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5"/>
      <c r="B541" s="45"/>
      <c r="C541" s="45"/>
      <c r="D541" s="45"/>
      <c r="E541" s="45"/>
      <c r="F541" s="45"/>
      <c r="G541" s="45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5"/>
      <c r="B543" s="45"/>
      <c r="C543" s="45"/>
      <c r="D543" s="45"/>
      <c r="E543" s="45"/>
      <c r="F543" s="45"/>
      <c r="G543" s="45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5"/>
      <c r="B545" s="45"/>
      <c r="C545" s="45"/>
      <c r="D545" s="45"/>
      <c r="E545" s="45"/>
      <c r="F545" s="45"/>
      <c r="G545" s="45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5"/>
      <c r="B547" s="45"/>
      <c r="C547" s="45"/>
      <c r="D547" s="45"/>
      <c r="E547" s="45"/>
      <c r="F547" s="45"/>
      <c r="G547" s="45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5"/>
      <c r="B549" s="45"/>
      <c r="C549" s="45"/>
      <c r="D549" s="45"/>
      <c r="E549" s="45"/>
      <c r="F549" s="45"/>
      <c r="G549" s="45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5"/>
      <c r="B551" s="45"/>
      <c r="C551" s="45"/>
      <c r="D551" s="45"/>
      <c r="E551" s="45"/>
      <c r="F551" s="45"/>
      <c r="G551" s="45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5"/>
      <c r="B553" s="45"/>
      <c r="C553" s="45"/>
      <c r="D553" s="45"/>
      <c r="E553" s="45"/>
      <c r="F553" s="45"/>
      <c r="G553" s="45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5"/>
      <c r="B555" s="45"/>
      <c r="C555" s="45"/>
      <c r="D555" s="45"/>
      <c r="E555" s="45"/>
      <c r="F555" s="45"/>
      <c r="G555" s="45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5"/>
      <c r="B557" s="45"/>
      <c r="C557" s="45"/>
      <c r="D557" s="45"/>
      <c r="E557" s="45"/>
      <c r="F557" s="45"/>
      <c r="G557" s="45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5"/>
      <c r="B559" s="45"/>
      <c r="C559" s="45"/>
      <c r="D559" s="45"/>
      <c r="E559" s="45"/>
      <c r="F559" s="45"/>
      <c r="G559" s="45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3F9BB-DD7D-FB45-AA17-6EF14AAFDDD4}">
  <dimension ref="A1:U1008"/>
  <sheetViews>
    <sheetView tabSelected="1" topLeftCell="A2" workbookViewId="0">
      <selection activeCell="L26" sqref="L26"/>
    </sheetView>
  </sheetViews>
  <sheetFormatPr baseColWidth="10" defaultRowHeight="15" x14ac:dyDescent="0.2"/>
  <cols>
    <col min="1" max="1" width="11.83203125" style="42" bestFit="1" customWidth="1"/>
    <col min="2" max="16384" width="10.83203125" style="42"/>
  </cols>
  <sheetData>
    <row r="1" spans="1:21" x14ac:dyDescent="0.2">
      <c r="A1" s="41" t="s">
        <v>179</v>
      </c>
      <c r="B1" s="41" t="s">
        <v>177</v>
      </c>
      <c r="G1" s="43" t="s">
        <v>185</v>
      </c>
    </row>
    <row r="3" spans="1:21" x14ac:dyDescent="0.2">
      <c r="A3" s="43" t="s">
        <v>180</v>
      </c>
    </row>
    <row r="4" spans="1:21" x14ac:dyDescent="0.2">
      <c r="A4" s="44" t="s">
        <v>86</v>
      </c>
      <c r="B4" s="44" t="s">
        <v>187</v>
      </c>
      <c r="C4" s="44" t="s">
        <v>188</v>
      </c>
      <c r="D4" s="44" t="s">
        <v>189</v>
      </c>
      <c r="E4" s="44"/>
      <c r="F4" s="44"/>
      <c r="G4" s="44"/>
      <c r="H4" s="44"/>
      <c r="I4" s="44"/>
      <c r="J4" s="44"/>
      <c r="K4" s="44"/>
      <c r="L4" s="44"/>
    </row>
    <row r="5" spans="1:21" x14ac:dyDescent="0.2">
      <c r="A5" s="43" t="s">
        <v>181</v>
      </c>
    </row>
    <row r="6" spans="1:21" x14ac:dyDescent="0.2">
      <c r="A6" s="46" t="s">
        <v>182</v>
      </c>
      <c r="B6" s="45" t="s">
        <v>183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21" ht="16" x14ac:dyDescent="0.2">
      <c r="A8" s="41" t="s">
        <v>86</v>
      </c>
      <c r="B8" s="41" t="s">
        <v>187</v>
      </c>
      <c r="C8" s="41" t="s">
        <v>188</v>
      </c>
      <c r="D8" s="41" t="s">
        <v>189</v>
      </c>
      <c r="E8" s="41" t="s">
        <v>177</v>
      </c>
      <c r="F8" s="41" t="s">
        <v>182</v>
      </c>
      <c r="G8" s="41" t="s">
        <v>183</v>
      </c>
      <c r="J8" s="43" t="s">
        <v>186</v>
      </c>
      <c r="N8" s="47" t="s">
        <v>189</v>
      </c>
      <c r="O8" s="47" t="s">
        <v>188</v>
      </c>
      <c r="P8" s="47" t="s">
        <v>177</v>
      </c>
      <c r="Q8" s="47" t="s">
        <v>86</v>
      </c>
      <c r="S8" s="42" t="s">
        <v>222</v>
      </c>
    </row>
    <row r="9" spans="1:21" ht="16" x14ac:dyDescent="0.2">
      <c r="A9" s="45">
        <v>2004</v>
      </c>
      <c r="B9" s="45" t="s">
        <v>190</v>
      </c>
      <c r="C9" s="45" t="s">
        <v>44</v>
      </c>
      <c r="D9" s="45" t="s">
        <v>204</v>
      </c>
      <c r="E9" s="45">
        <v>4854</v>
      </c>
      <c r="F9" s="45"/>
      <c r="G9" s="45">
        <v>970.80000000000007</v>
      </c>
      <c r="N9" s="47" t="s">
        <v>215</v>
      </c>
      <c r="O9" s="47" t="s">
        <v>43</v>
      </c>
      <c r="P9" s="47">
        <v>9541</v>
      </c>
      <c r="Q9" s="47">
        <v>2014</v>
      </c>
      <c r="S9" s="48"/>
      <c r="T9" s="48" t="s">
        <v>223</v>
      </c>
      <c r="U9" s="48" t="s">
        <v>224</v>
      </c>
    </row>
    <row r="10" spans="1:21" ht="16" x14ac:dyDescent="0.2">
      <c r="A10" s="44">
        <v>2005</v>
      </c>
      <c r="B10" s="44" t="s">
        <v>190</v>
      </c>
      <c r="C10" s="44" t="s">
        <v>44</v>
      </c>
      <c r="D10" s="44" t="s">
        <v>204</v>
      </c>
      <c r="E10" s="44">
        <v>10049</v>
      </c>
      <c r="F10" s="44"/>
      <c r="G10" s="44">
        <v>2009.8000000000002</v>
      </c>
      <c r="N10" s="47" t="s">
        <v>215</v>
      </c>
      <c r="O10" s="47" t="s">
        <v>44</v>
      </c>
      <c r="P10" s="47">
        <v>9134</v>
      </c>
      <c r="Q10" s="47">
        <v>2014</v>
      </c>
      <c r="S10" s="48"/>
      <c r="T10" s="48"/>
      <c r="U10" s="48"/>
    </row>
    <row r="11" spans="1:21" ht="16" x14ac:dyDescent="0.2">
      <c r="A11" s="45">
        <v>2006</v>
      </c>
      <c r="B11" s="45" t="s">
        <v>190</v>
      </c>
      <c r="C11" s="45" t="s">
        <v>44</v>
      </c>
      <c r="D11" s="45" t="s">
        <v>204</v>
      </c>
      <c r="E11" s="45">
        <v>22323</v>
      </c>
      <c r="F11" s="45"/>
      <c r="G11" s="45">
        <v>4464.6000000000004</v>
      </c>
      <c r="N11" s="47" t="s">
        <v>216</v>
      </c>
      <c r="O11" s="47" t="s">
        <v>43</v>
      </c>
      <c r="P11" s="47">
        <v>7396</v>
      </c>
      <c r="Q11" s="47">
        <v>2014</v>
      </c>
      <c r="S11" s="48">
        <v>2012</v>
      </c>
      <c r="T11" s="49">
        <v>518801</v>
      </c>
      <c r="U11" s="48">
        <v>46874</v>
      </c>
    </row>
    <row r="12" spans="1:21" ht="16" x14ac:dyDescent="0.2">
      <c r="A12" s="44">
        <v>2007</v>
      </c>
      <c r="B12" s="44" t="s">
        <v>190</v>
      </c>
      <c r="C12" s="44" t="s">
        <v>44</v>
      </c>
      <c r="D12" s="44" t="s">
        <v>204</v>
      </c>
      <c r="E12" s="44">
        <v>37527</v>
      </c>
      <c r="F12" s="44"/>
      <c r="G12" s="44">
        <v>7505.4000000000005</v>
      </c>
      <c r="N12" s="47" t="s">
        <v>216</v>
      </c>
      <c r="O12" s="47" t="s">
        <v>44</v>
      </c>
      <c r="P12" s="47">
        <v>6999</v>
      </c>
      <c r="Q12" s="47">
        <v>2014</v>
      </c>
      <c r="S12" s="48">
        <v>2013</v>
      </c>
      <c r="T12" s="49">
        <v>618880</v>
      </c>
      <c r="U12" s="48">
        <v>46319</v>
      </c>
    </row>
    <row r="13" spans="1:21" ht="16" x14ac:dyDescent="0.2">
      <c r="A13" s="45">
        <v>2008</v>
      </c>
      <c r="B13" s="45" t="s">
        <v>190</v>
      </c>
      <c r="C13" s="45" t="s">
        <v>44</v>
      </c>
      <c r="D13" s="45" t="s">
        <v>204</v>
      </c>
      <c r="E13" s="45">
        <v>57603</v>
      </c>
      <c r="F13" s="45"/>
      <c r="G13" s="45">
        <v>11520.6</v>
      </c>
      <c r="J13" s="42" t="s">
        <v>214</v>
      </c>
      <c r="N13" s="47" t="s">
        <v>217</v>
      </c>
      <c r="O13" s="47" t="s">
        <v>43</v>
      </c>
      <c r="P13" s="47">
        <v>26187</v>
      </c>
      <c r="Q13" s="47">
        <v>2014</v>
      </c>
      <c r="S13" s="48">
        <v>2014</v>
      </c>
      <c r="T13" s="49">
        <v>732919</v>
      </c>
      <c r="U13" s="48">
        <v>55061</v>
      </c>
    </row>
    <row r="14" spans="1:21" ht="16" x14ac:dyDescent="0.2">
      <c r="A14" s="44">
        <v>2009</v>
      </c>
      <c r="B14" s="44" t="s">
        <v>190</v>
      </c>
      <c r="C14" s="44" t="s">
        <v>44</v>
      </c>
      <c r="D14" s="44" t="s">
        <v>204</v>
      </c>
      <c r="E14" s="44">
        <v>82266</v>
      </c>
      <c r="F14" s="44"/>
      <c r="G14" s="44">
        <v>16453.2</v>
      </c>
      <c r="N14" s="47" t="s">
        <v>217</v>
      </c>
      <c r="O14" s="47" t="s">
        <v>44</v>
      </c>
      <c r="P14" s="47">
        <v>6343</v>
      </c>
      <c r="Q14" s="47">
        <v>2014</v>
      </c>
      <c r="S14" s="48">
        <v>2015</v>
      </c>
      <c r="T14" s="49">
        <v>818207</v>
      </c>
      <c r="U14" s="48">
        <v>61064</v>
      </c>
    </row>
    <row r="15" spans="1:21" ht="16" x14ac:dyDescent="0.2">
      <c r="A15" s="45">
        <v>2010</v>
      </c>
      <c r="B15" s="45" t="s">
        <v>190</v>
      </c>
      <c r="C15" s="45" t="s">
        <v>44</v>
      </c>
      <c r="D15" s="45" t="s">
        <v>204</v>
      </c>
      <c r="E15" s="45">
        <v>119235</v>
      </c>
      <c r="F15" s="45"/>
      <c r="G15" s="45">
        <v>23847</v>
      </c>
      <c r="N15" s="47" t="s">
        <v>218</v>
      </c>
      <c r="O15" s="47" t="s">
        <v>43</v>
      </c>
      <c r="P15" s="47">
        <v>75816</v>
      </c>
      <c r="Q15" s="47">
        <v>2014</v>
      </c>
      <c r="S15" s="48">
        <v>2016</v>
      </c>
      <c r="T15" s="49">
        <v>909508</v>
      </c>
      <c r="U15" s="48">
        <v>66159</v>
      </c>
    </row>
    <row r="16" spans="1:21" ht="16" x14ac:dyDescent="0.2">
      <c r="A16" s="44">
        <v>2011</v>
      </c>
      <c r="B16" s="44" t="s">
        <v>190</v>
      </c>
      <c r="C16" s="44" t="s">
        <v>44</v>
      </c>
      <c r="D16" s="44" t="s">
        <v>204</v>
      </c>
      <c r="E16" s="44">
        <v>148551</v>
      </c>
      <c r="F16" s="44"/>
      <c r="G16" s="44">
        <v>29710.2</v>
      </c>
      <c r="N16" s="47" t="s">
        <v>218</v>
      </c>
      <c r="O16" s="47" t="s">
        <v>44</v>
      </c>
      <c r="P16" s="47">
        <v>15247</v>
      </c>
      <c r="Q16" s="47">
        <v>2014</v>
      </c>
      <c r="S16" s="48">
        <v>2017</v>
      </c>
      <c r="T16" s="49">
        <v>1051790</v>
      </c>
      <c r="U16" s="48">
        <v>68119</v>
      </c>
    </row>
    <row r="17" spans="1:21" ht="16" x14ac:dyDescent="0.2">
      <c r="A17" s="45">
        <v>2012</v>
      </c>
      <c r="B17" s="45" t="s">
        <v>190</v>
      </c>
      <c r="C17" s="45" t="s">
        <v>44</v>
      </c>
      <c r="D17" s="45" t="s">
        <v>204</v>
      </c>
      <c r="E17" s="45">
        <v>178027</v>
      </c>
      <c r="F17" s="45"/>
      <c r="G17" s="45">
        <v>35605.4</v>
      </c>
      <c r="N17" s="47" t="s">
        <v>219</v>
      </c>
      <c r="O17" s="47" t="s">
        <v>43</v>
      </c>
      <c r="P17" s="47">
        <v>286221</v>
      </c>
      <c r="Q17" s="47">
        <v>2014</v>
      </c>
      <c r="S17" s="48">
        <v>2018</v>
      </c>
      <c r="T17" s="49">
        <v>1086674</v>
      </c>
      <c r="U17" s="48">
        <v>63405</v>
      </c>
    </row>
    <row r="18" spans="1:21" ht="16" x14ac:dyDescent="0.2">
      <c r="A18" s="44">
        <v>2013</v>
      </c>
      <c r="B18" s="44" t="s">
        <v>190</v>
      </c>
      <c r="C18" s="44" t="s">
        <v>44</v>
      </c>
      <c r="D18" s="44" t="s">
        <v>204</v>
      </c>
      <c r="E18" s="44">
        <v>245690</v>
      </c>
      <c r="F18" s="44"/>
      <c r="G18" s="44">
        <v>49138</v>
      </c>
      <c r="N18" s="47" t="s">
        <v>219</v>
      </c>
      <c r="O18" s="47" t="s">
        <v>44</v>
      </c>
      <c r="P18" s="47">
        <v>160253</v>
      </c>
      <c r="Q18" s="47">
        <v>2014</v>
      </c>
      <c r="S18" s="48">
        <v>2019</v>
      </c>
      <c r="T18" s="49">
        <v>1087360</v>
      </c>
      <c r="U18" s="48">
        <v>59172</v>
      </c>
    </row>
    <row r="19" spans="1:21" ht="16" x14ac:dyDescent="0.2">
      <c r="A19" s="45">
        <v>2014</v>
      </c>
      <c r="B19" s="45" t="s">
        <v>190</v>
      </c>
      <c r="C19" s="45" t="s">
        <v>44</v>
      </c>
      <c r="D19" s="45" t="s">
        <v>204</v>
      </c>
      <c r="E19" s="45">
        <v>264614</v>
      </c>
      <c r="F19" s="45"/>
      <c r="G19" s="45">
        <v>52922.8</v>
      </c>
      <c r="N19" s="47" t="s">
        <v>220</v>
      </c>
      <c r="O19" s="47" t="s">
        <v>43</v>
      </c>
      <c r="P19" s="47">
        <v>5726</v>
      </c>
      <c r="Q19" s="47">
        <v>2014</v>
      </c>
      <c r="S19" s="48">
        <v>2020</v>
      </c>
      <c r="T19" s="49">
        <v>1128432</v>
      </c>
      <c r="U19" s="48">
        <v>56469</v>
      </c>
    </row>
    <row r="20" spans="1:21" ht="16" x14ac:dyDescent="0.2">
      <c r="A20" s="44">
        <v>2016</v>
      </c>
      <c r="B20" s="44" t="s">
        <v>190</v>
      </c>
      <c r="C20" s="44" t="s">
        <v>44</v>
      </c>
      <c r="D20" s="44" t="s">
        <v>204</v>
      </c>
      <c r="E20" s="44">
        <v>361399</v>
      </c>
      <c r="F20" s="44"/>
      <c r="G20" s="44">
        <v>72279.8</v>
      </c>
      <c r="N20" s="47" t="s">
        <v>220</v>
      </c>
      <c r="O20" s="47" t="s">
        <v>44</v>
      </c>
      <c r="P20" s="47">
        <v>5845</v>
      </c>
      <c r="Q20" s="47">
        <v>2014</v>
      </c>
    </row>
    <row r="21" spans="1:21" ht="16" x14ac:dyDescent="0.2">
      <c r="A21" s="45">
        <v>2017</v>
      </c>
      <c r="B21" s="45" t="s">
        <v>190</v>
      </c>
      <c r="C21" s="45" t="s">
        <v>44</v>
      </c>
      <c r="D21" s="45" t="s">
        <v>204</v>
      </c>
      <c r="E21" s="45">
        <v>388658</v>
      </c>
      <c r="F21" s="45"/>
      <c r="G21" s="45">
        <v>77731.600000000006</v>
      </c>
      <c r="N21" s="47" t="s">
        <v>221</v>
      </c>
      <c r="O21" s="47" t="s">
        <v>43</v>
      </c>
      <c r="P21" s="47">
        <v>41564</v>
      </c>
      <c r="Q21" s="47">
        <v>2014</v>
      </c>
    </row>
    <row r="22" spans="1:21" ht="16" x14ac:dyDescent="0.2">
      <c r="A22" s="44">
        <v>2004</v>
      </c>
      <c r="B22" s="44" t="s">
        <v>190</v>
      </c>
      <c r="C22" s="44" t="s">
        <v>43</v>
      </c>
      <c r="D22" s="44" t="s">
        <v>204</v>
      </c>
      <c r="E22" s="44">
        <v>6146</v>
      </c>
      <c r="F22" s="44"/>
      <c r="G22" s="44">
        <v>1229.2</v>
      </c>
      <c r="N22" s="47" t="s">
        <v>221</v>
      </c>
      <c r="O22" s="47" t="s">
        <v>44</v>
      </c>
      <c r="P22" s="47">
        <v>39675</v>
      </c>
      <c r="Q22" s="47">
        <v>2014</v>
      </c>
    </row>
    <row r="23" spans="1:21" ht="16" x14ac:dyDescent="0.2">
      <c r="A23" s="45">
        <v>2005</v>
      </c>
      <c r="B23" s="45" t="s">
        <v>190</v>
      </c>
      <c r="C23" s="45" t="s">
        <v>43</v>
      </c>
      <c r="D23" s="45" t="s">
        <v>204</v>
      </c>
      <c r="E23" s="45">
        <v>15818</v>
      </c>
      <c r="F23" s="45"/>
      <c r="G23" s="45">
        <v>3163.6000000000004</v>
      </c>
      <c r="N23" s="47" t="s">
        <v>215</v>
      </c>
      <c r="O23" s="47" t="s">
        <v>44</v>
      </c>
      <c r="P23" s="47">
        <v>1867</v>
      </c>
      <c r="Q23" s="47">
        <v>2015</v>
      </c>
    </row>
    <row r="24" spans="1:21" ht="16" x14ac:dyDescent="0.2">
      <c r="A24" s="44">
        <v>2006</v>
      </c>
      <c r="B24" s="44" t="s">
        <v>190</v>
      </c>
      <c r="C24" s="44" t="s">
        <v>43</v>
      </c>
      <c r="D24" s="44" t="s">
        <v>204</v>
      </c>
      <c r="E24" s="44">
        <v>31309</v>
      </c>
      <c r="F24" s="44"/>
      <c r="G24" s="44">
        <v>6261.8</v>
      </c>
      <c r="N24" s="47" t="s">
        <v>220</v>
      </c>
      <c r="O24" s="47" t="s">
        <v>44</v>
      </c>
      <c r="P24" s="47">
        <v>967</v>
      </c>
      <c r="Q24" s="47">
        <v>2015</v>
      </c>
    </row>
    <row r="25" spans="1:21" ht="16" x14ac:dyDescent="0.2">
      <c r="A25" s="45">
        <v>2007</v>
      </c>
      <c r="B25" s="45" t="s">
        <v>190</v>
      </c>
      <c r="C25" s="45" t="s">
        <v>43</v>
      </c>
      <c r="D25" s="45" t="s">
        <v>204</v>
      </c>
      <c r="E25" s="45">
        <v>52562</v>
      </c>
      <c r="F25" s="45"/>
      <c r="G25" s="45">
        <v>10512.400000000001</v>
      </c>
      <c r="N25" s="47" t="s">
        <v>216</v>
      </c>
      <c r="O25" s="47" t="s">
        <v>44</v>
      </c>
      <c r="P25" s="47">
        <v>1169</v>
      </c>
      <c r="Q25" s="47">
        <v>2015</v>
      </c>
    </row>
    <row r="26" spans="1:21" ht="16" x14ac:dyDescent="0.2">
      <c r="A26" s="44">
        <v>2008</v>
      </c>
      <c r="B26" s="44" t="s">
        <v>190</v>
      </c>
      <c r="C26" s="44" t="s">
        <v>43</v>
      </c>
      <c r="D26" s="44" t="s">
        <v>204</v>
      </c>
      <c r="E26" s="44">
        <v>77120</v>
      </c>
      <c r="F26" s="44"/>
      <c r="G26" s="44">
        <v>15424</v>
      </c>
      <c r="N26" s="47" t="s">
        <v>217</v>
      </c>
      <c r="O26" s="47" t="s">
        <v>44</v>
      </c>
      <c r="P26" s="47">
        <v>1180</v>
      </c>
      <c r="Q26" s="47">
        <v>2015</v>
      </c>
    </row>
    <row r="27" spans="1:21" ht="16" x14ac:dyDescent="0.2">
      <c r="A27" s="45">
        <v>2009</v>
      </c>
      <c r="B27" s="45" t="s">
        <v>190</v>
      </c>
      <c r="C27" s="45" t="s">
        <v>43</v>
      </c>
      <c r="D27" s="45" t="s">
        <v>204</v>
      </c>
      <c r="E27" s="45">
        <v>117364</v>
      </c>
      <c r="F27" s="45"/>
      <c r="G27" s="45">
        <v>23472.800000000003</v>
      </c>
      <c r="N27" s="47" t="s">
        <v>218</v>
      </c>
      <c r="O27" s="47" t="s">
        <v>44</v>
      </c>
      <c r="P27" s="47">
        <v>2475</v>
      </c>
      <c r="Q27" s="47">
        <v>2015</v>
      </c>
    </row>
    <row r="28" spans="1:21" ht="16" x14ac:dyDescent="0.2">
      <c r="A28" s="44">
        <v>2010</v>
      </c>
      <c r="B28" s="44" t="s">
        <v>190</v>
      </c>
      <c r="C28" s="44" t="s">
        <v>43</v>
      </c>
      <c r="D28" s="44" t="s">
        <v>204</v>
      </c>
      <c r="E28" s="44">
        <v>211144</v>
      </c>
      <c r="F28" s="44"/>
      <c r="G28" s="44">
        <v>42228.800000000003</v>
      </c>
      <c r="N28" s="47" t="s">
        <v>219</v>
      </c>
      <c r="O28" s="47" t="s">
        <v>44</v>
      </c>
      <c r="P28" s="47">
        <v>32863</v>
      </c>
      <c r="Q28" s="47">
        <v>2015</v>
      </c>
    </row>
    <row r="29" spans="1:21" ht="16" x14ac:dyDescent="0.2">
      <c r="A29" s="45">
        <v>2011</v>
      </c>
      <c r="B29" s="45" t="s">
        <v>190</v>
      </c>
      <c r="C29" s="45" t="s">
        <v>43</v>
      </c>
      <c r="D29" s="45" t="s">
        <v>204</v>
      </c>
      <c r="E29" s="45">
        <v>296112</v>
      </c>
      <c r="F29" s="45"/>
      <c r="G29" s="45">
        <v>59222.400000000001</v>
      </c>
      <c r="N29" s="47" t="s">
        <v>221</v>
      </c>
      <c r="O29" s="47" t="s">
        <v>44</v>
      </c>
      <c r="P29" s="47">
        <v>6155</v>
      </c>
      <c r="Q29" s="47">
        <v>2015</v>
      </c>
    </row>
    <row r="30" spans="1:21" ht="16" x14ac:dyDescent="0.2">
      <c r="A30" s="44">
        <v>2012</v>
      </c>
      <c r="B30" s="44" t="s">
        <v>190</v>
      </c>
      <c r="C30" s="44" t="s">
        <v>43</v>
      </c>
      <c r="D30" s="44" t="s">
        <v>204</v>
      </c>
      <c r="E30" s="44">
        <v>340774</v>
      </c>
      <c r="F30" s="44"/>
      <c r="G30" s="44">
        <v>68154.8</v>
      </c>
      <c r="N30" s="47" t="s">
        <v>215</v>
      </c>
      <c r="O30" s="47" t="s">
        <v>43</v>
      </c>
      <c r="P30" s="47">
        <v>1869</v>
      </c>
      <c r="Q30" s="47">
        <v>2015</v>
      </c>
    </row>
    <row r="31" spans="1:21" ht="16" x14ac:dyDescent="0.2">
      <c r="A31" s="45">
        <v>2013</v>
      </c>
      <c r="B31" s="45" t="s">
        <v>190</v>
      </c>
      <c r="C31" s="45" t="s">
        <v>43</v>
      </c>
      <c r="D31" s="45" t="s">
        <v>204</v>
      </c>
      <c r="E31" s="45">
        <v>373190</v>
      </c>
      <c r="F31" s="45"/>
      <c r="G31" s="45">
        <v>74638</v>
      </c>
      <c r="N31" s="47" t="s">
        <v>220</v>
      </c>
      <c r="O31" s="47" t="s">
        <v>43</v>
      </c>
      <c r="P31" s="47">
        <v>1008</v>
      </c>
      <c r="Q31" s="47">
        <v>2015</v>
      </c>
    </row>
    <row r="32" spans="1:21" ht="16" x14ac:dyDescent="0.2">
      <c r="A32" s="44">
        <v>2014</v>
      </c>
      <c r="B32" s="44" t="s">
        <v>190</v>
      </c>
      <c r="C32" s="44" t="s">
        <v>43</v>
      </c>
      <c r="D32" s="44" t="s">
        <v>204</v>
      </c>
      <c r="E32" s="44">
        <v>468305</v>
      </c>
      <c r="F32" s="44"/>
      <c r="G32" s="44">
        <v>93661</v>
      </c>
      <c r="J32" s="44"/>
      <c r="N32" s="47" t="s">
        <v>216</v>
      </c>
      <c r="O32" s="47" t="s">
        <v>43</v>
      </c>
      <c r="P32" s="47">
        <v>1316</v>
      </c>
      <c r="Q32" s="47">
        <v>2015</v>
      </c>
    </row>
    <row r="33" spans="1:17" ht="16" x14ac:dyDescent="0.2">
      <c r="A33" s="45">
        <v>2016</v>
      </c>
      <c r="B33" s="45" t="s">
        <v>190</v>
      </c>
      <c r="C33" s="45" t="s">
        <v>43</v>
      </c>
      <c r="D33" s="45" t="s">
        <v>204</v>
      </c>
      <c r="E33" s="45">
        <v>579378</v>
      </c>
      <c r="F33" s="45"/>
      <c r="G33" s="45">
        <v>115875.6</v>
      </c>
      <c r="N33" s="47" t="s">
        <v>217</v>
      </c>
      <c r="O33" s="47" t="s">
        <v>43</v>
      </c>
      <c r="P33" s="47">
        <v>4718</v>
      </c>
      <c r="Q33" s="47">
        <v>2015</v>
      </c>
    </row>
    <row r="34" spans="1:17" ht="16" x14ac:dyDescent="0.2">
      <c r="A34" s="44">
        <v>2017</v>
      </c>
      <c r="B34" s="44" t="s">
        <v>190</v>
      </c>
      <c r="C34" s="44" t="s">
        <v>43</v>
      </c>
      <c r="D34" s="44" t="s">
        <v>204</v>
      </c>
      <c r="E34" s="44">
        <v>663132</v>
      </c>
      <c r="F34" s="44"/>
      <c r="G34" s="44">
        <v>132626.4</v>
      </c>
      <c r="N34" s="47" t="s">
        <v>218</v>
      </c>
      <c r="O34" s="47" t="s">
        <v>43</v>
      </c>
      <c r="P34" s="47">
        <v>12703</v>
      </c>
      <c r="Q34" s="47">
        <v>2015</v>
      </c>
    </row>
    <row r="35" spans="1:17" ht="16" x14ac:dyDescent="0.2">
      <c r="A35" s="45"/>
      <c r="B35" s="45"/>
      <c r="C35" s="45"/>
      <c r="D35" s="45"/>
      <c r="E35" s="45"/>
      <c r="F35" s="45"/>
      <c r="G35" s="45"/>
      <c r="N35" s="47" t="s">
        <v>219</v>
      </c>
      <c r="O35" s="47" t="s">
        <v>43</v>
      </c>
      <c r="P35" s="47">
        <v>52802</v>
      </c>
      <c r="Q35" s="47">
        <v>2015</v>
      </c>
    </row>
    <row r="36" spans="1:17" ht="16" x14ac:dyDescent="0.2">
      <c r="A36" s="44"/>
      <c r="B36" s="44"/>
      <c r="C36" s="44"/>
      <c r="D36" s="44"/>
      <c r="E36" s="44"/>
      <c r="F36" s="44"/>
      <c r="G36" s="44"/>
      <c r="N36" s="47" t="s">
        <v>221</v>
      </c>
      <c r="O36" s="47" t="s">
        <v>43</v>
      </c>
      <c r="P36" s="47">
        <v>5513</v>
      </c>
      <c r="Q36" s="47">
        <v>2015</v>
      </c>
    </row>
    <row r="37" spans="1:17" ht="16" x14ac:dyDescent="0.2">
      <c r="A37" s="45"/>
      <c r="B37" s="45"/>
      <c r="C37" s="45"/>
      <c r="D37" s="45"/>
      <c r="E37" s="45"/>
      <c r="F37" s="45"/>
      <c r="G37" s="45"/>
      <c r="N37" s="47" t="s">
        <v>215</v>
      </c>
      <c r="O37" s="47" t="s">
        <v>43</v>
      </c>
      <c r="P37" s="47">
        <v>9533</v>
      </c>
      <c r="Q37" s="47">
        <v>2016</v>
      </c>
    </row>
    <row r="38" spans="1:17" ht="16" x14ac:dyDescent="0.2">
      <c r="A38" s="44"/>
      <c r="B38" s="44"/>
      <c r="C38" s="44"/>
      <c r="D38" s="44"/>
      <c r="E38" s="44"/>
      <c r="F38" s="44"/>
      <c r="G38" s="44"/>
      <c r="N38" s="47" t="s">
        <v>215</v>
      </c>
      <c r="O38" s="47" t="s">
        <v>44</v>
      </c>
      <c r="P38" s="47">
        <v>9069</v>
      </c>
      <c r="Q38" s="47">
        <v>2016</v>
      </c>
    </row>
    <row r="39" spans="1:17" ht="16" x14ac:dyDescent="0.2">
      <c r="A39" s="45"/>
      <c r="B39" s="45"/>
      <c r="C39" s="45"/>
      <c r="D39" s="45"/>
      <c r="E39" s="45"/>
      <c r="F39" s="45"/>
      <c r="G39" s="45"/>
      <c r="N39" s="47" t="s">
        <v>216</v>
      </c>
      <c r="O39" s="47" t="s">
        <v>43</v>
      </c>
      <c r="P39" s="47">
        <v>7416</v>
      </c>
      <c r="Q39" s="47">
        <v>2016</v>
      </c>
    </row>
    <row r="40" spans="1:17" ht="16" x14ac:dyDescent="0.2">
      <c r="A40" s="44"/>
      <c r="B40" s="44"/>
      <c r="C40" s="44"/>
      <c r="D40" s="44"/>
      <c r="E40" s="44"/>
      <c r="F40" s="44"/>
      <c r="G40" s="44"/>
      <c r="N40" s="47" t="s">
        <v>216</v>
      </c>
      <c r="O40" s="47" t="s">
        <v>44</v>
      </c>
      <c r="P40" s="47">
        <v>7027</v>
      </c>
      <c r="Q40" s="47">
        <v>2016</v>
      </c>
    </row>
    <row r="41" spans="1:17" ht="16" x14ac:dyDescent="0.2">
      <c r="A41" s="45"/>
      <c r="B41" s="45"/>
      <c r="C41" s="45"/>
      <c r="D41" s="45"/>
      <c r="E41" s="45"/>
      <c r="F41" s="45"/>
      <c r="G41" s="45"/>
      <c r="N41" s="47" t="s">
        <v>217</v>
      </c>
      <c r="O41" s="47" t="s">
        <v>43</v>
      </c>
      <c r="P41" s="47">
        <v>26345</v>
      </c>
      <c r="Q41" s="47">
        <v>2016</v>
      </c>
    </row>
    <row r="42" spans="1:17" ht="16" x14ac:dyDescent="0.2">
      <c r="A42" s="44"/>
      <c r="B42" s="44"/>
      <c r="C42" s="44"/>
      <c r="D42" s="44"/>
      <c r="E42" s="44"/>
      <c r="F42" s="44"/>
      <c r="G42" s="44"/>
      <c r="N42" s="47" t="s">
        <v>217</v>
      </c>
      <c r="O42" s="47" t="s">
        <v>44</v>
      </c>
      <c r="P42" s="47">
        <v>6363</v>
      </c>
      <c r="Q42" s="47">
        <v>2016</v>
      </c>
    </row>
    <row r="43" spans="1:17" ht="16" x14ac:dyDescent="0.2">
      <c r="A43" s="45"/>
      <c r="B43" s="45"/>
      <c r="C43" s="45"/>
      <c r="D43" s="45"/>
      <c r="E43" s="45"/>
      <c r="F43" s="45"/>
      <c r="G43" s="45"/>
      <c r="N43" s="47" t="s">
        <v>218</v>
      </c>
      <c r="O43" s="47" t="s">
        <v>43</v>
      </c>
      <c r="P43" s="47">
        <v>76012</v>
      </c>
      <c r="Q43" s="47">
        <v>2016</v>
      </c>
    </row>
    <row r="44" spans="1:17" ht="16" x14ac:dyDescent="0.2">
      <c r="A44" s="44"/>
      <c r="B44" s="44"/>
      <c r="C44" s="44"/>
      <c r="D44" s="44"/>
      <c r="E44" s="44"/>
      <c r="F44" s="44"/>
      <c r="G44" s="44"/>
      <c r="N44" s="47" t="s">
        <v>218</v>
      </c>
      <c r="O44" s="47" t="s">
        <v>44</v>
      </c>
      <c r="P44" s="47">
        <v>15299</v>
      </c>
      <c r="Q44" s="47">
        <v>2016</v>
      </c>
    </row>
    <row r="45" spans="1:17" ht="16" x14ac:dyDescent="0.2">
      <c r="A45" s="45"/>
      <c r="B45" s="45"/>
      <c r="C45" s="45"/>
      <c r="D45" s="45"/>
      <c r="E45" s="45"/>
      <c r="F45" s="45"/>
      <c r="G45" s="45"/>
      <c r="N45" s="47" t="s">
        <v>219</v>
      </c>
      <c r="O45" s="47" t="s">
        <v>43</v>
      </c>
      <c r="P45" s="47">
        <v>286592</v>
      </c>
      <c r="Q45" s="47">
        <v>2016</v>
      </c>
    </row>
    <row r="46" spans="1:17" ht="16" x14ac:dyDescent="0.2">
      <c r="A46" s="44"/>
      <c r="B46" s="44"/>
      <c r="C46" s="44"/>
      <c r="D46" s="44"/>
      <c r="E46" s="44"/>
      <c r="F46" s="44"/>
      <c r="G46" s="44"/>
      <c r="N46" s="47" t="s">
        <v>219</v>
      </c>
      <c r="O46" s="47" t="s">
        <v>44</v>
      </c>
      <c r="P46" s="47">
        <v>160957</v>
      </c>
      <c r="Q46" s="47">
        <v>2016</v>
      </c>
    </row>
    <row r="47" spans="1:17" ht="16" x14ac:dyDescent="0.2">
      <c r="A47" s="45"/>
      <c r="B47" s="45"/>
      <c r="C47" s="45"/>
      <c r="D47" s="45"/>
      <c r="E47" s="45"/>
      <c r="F47" s="45"/>
      <c r="G47" s="45"/>
      <c r="N47" s="47" t="s">
        <v>220</v>
      </c>
      <c r="O47" s="47" t="s">
        <v>43</v>
      </c>
      <c r="P47" s="47">
        <v>5748</v>
      </c>
      <c r="Q47" s="47">
        <v>2016</v>
      </c>
    </row>
    <row r="48" spans="1:17" ht="16" x14ac:dyDescent="0.2">
      <c r="A48" s="44"/>
      <c r="B48" s="44"/>
      <c r="C48" s="44"/>
      <c r="D48" s="44"/>
      <c r="E48" s="44"/>
      <c r="F48" s="44"/>
      <c r="G48" s="44"/>
      <c r="N48" s="47" t="s">
        <v>220</v>
      </c>
      <c r="O48" s="47" t="s">
        <v>44</v>
      </c>
      <c r="P48" s="47">
        <v>5817</v>
      </c>
      <c r="Q48" s="47">
        <v>2016</v>
      </c>
    </row>
    <row r="49" spans="1:17" ht="16" x14ac:dyDescent="0.2">
      <c r="A49" s="45"/>
      <c r="B49" s="45"/>
      <c r="C49" s="45"/>
      <c r="D49" s="45"/>
      <c r="E49" s="45"/>
      <c r="F49" s="45"/>
      <c r="G49" s="45"/>
      <c r="N49" s="47" t="s">
        <v>221</v>
      </c>
      <c r="O49" s="47" t="s">
        <v>43</v>
      </c>
      <c r="P49" s="47">
        <v>41634</v>
      </c>
      <c r="Q49" s="47">
        <v>2016</v>
      </c>
    </row>
    <row r="50" spans="1:17" ht="16" x14ac:dyDescent="0.2">
      <c r="A50" s="44"/>
      <c r="B50" s="44"/>
      <c r="C50" s="44"/>
      <c r="D50" s="44"/>
      <c r="E50" s="44"/>
      <c r="F50" s="44"/>
      <c r="G50" s="44"/>
      <c r="N50" s="47" t="s">
        <v>221</v>
      </c>
      <c r="O50" s="47" t="s">
        <v>44</v>
      </c>
      <c r="P50" s="47">
        <v>39760</v>
      </c>
      <c r="Q50" s="47">
        <v>2016</v>
      </c>
    </row>
    <row r="51" spans="1:17" ht="16" x14ac:dyDescent="0.2">
      <c r="A51" s="45"/>
      <c r="B51" s="45"/>
      <c r="C51" s="45"/>
      <c r="D51" s="45"/>
      <c r="E51" s="45"/>
      <c r="F51" s="45"/>
      <c r="G51" s="45"/>
      <c r="N51" s="47" t="s">
        <v>215</v>
      </c>
      <c r="O51" s="47" t="s">
        <v>43</v>
      </c>
      <c r="P51" s="47">
        <v>9518</v>
      </c>
      <c r="Q51" s="47">
        <v>2017</v>
      </c>
    </row>
    <row r="52" spans="1:17" ht="16" x14ac:dyDescent="0.2">
      <c r="A52" s="44"/>
      <c r="B52" s="44"/>
      <c r="C52" s="44"/>
      <c r="D52" s="44"/>
      <c r="E52" s="44"/>
      <c r="F52" s="44"/>
      <c r="G52" s="44"/>
      <c r="N52" s="47" t="s">
        <v>215</v>
      </c>
      <c r="O52" s="47" t="s">
        <v>44</v>
      </c>
      <c r="P52" s="47">
        <v>9121</v>
      </c>
      <c r="Q52" s="47">
        <v>2017</v>
      </c>
    </row>
    <row r="53" spans="1:17" ht="16" x14ac:dyDescent="0.2">
      <c r="A53" s="45"/>
      <c r="B53" s="45"/>
      <c r="C53" s="45"/>
      <c r="D53" s="45"/>
      <c r="E53" s="45"/>
      <c r="F53" s="45"/>
      <c r="G53" s="45"/>
      <c r="N53" s="47" t="s">
        <v>216</v>
      </c>
      <c r="O53" s="47" t="s">
        <v>43</v>
      </c>
      <c r="P53" s="47">
        <v>7366</v>
      </c>
      <c r="Q53" s="47">
        <v>2017</v>
      </c>
    </row>
    <row r="54" spans="1:17" ht="16" x14ac:dyDescent="0.2">
      <c r="A54" s="44"/>
      <c r="B54" s="44"/>
      <c r="C54" s="44"/>
      <c r="D54" s="44"/>
      <c r="E54" s="44"/>
      <c r="F54" s="44"/>
      <c r="G54" s="44"/>
      <c r="N54" s="47" t="s">
        <v>216</v>
      </c>
      <c r="O54" s="47" t="s">
        <v>44</v>
      </c>
      <c r="P54" s="47">
        <v>6985</v>
      </c>
      <c r="Q54" s="47">
        <v>2017</v>
      </c>
    </row>
    <row r="55" spans="1:17" ht="16" x14ac:dyDescent="0.2">
      <c r="A55" s="45"/>
      <c r="B55" s="45"/>
      <c r="C55" s="45"/>
      <c r="D55" s="45"/>
      <c r="E55" s="45"/>
      <c r="F55" s="45"/>
      <c r="G55" s="45"/>
      <c r="N55" s="47" t="s">
        <v>217</v>
      </c>
      <c r="O55" s="47" t="s">
        <v>43</v>
      </c>
      <c r="P55" s="47">
        <v>26374</v>
      </c>
      <c r="Q55" s="47">
        <v>2017</v>
      </c>
    </row>
    <row r="56" spans="1:17" ht="16" x14ac:dyDescent="0.2">
      <c r="A56" s="44"/>
      <c r="B56" s="44"/>
      <c r="C56" s="44"/>
      <c r="D56" s="44"/>
      <c r="E56" s="44"/>
      <c r="F56" s="44"/>
      <c r="G56" s="44"/>
      <c r="N56" s="47" t="s">
        <v>217</v>
      </c>
      <c r="O56" s="47" t="s">
        <v>44</v>
      </c>
      <c r="P56" s="47">
        <v>6363</v>
      </c>
      <c r="Q56" s="47">
        <v>2017</v>
      </c>
    </row>
    <row r="57" spans="1:17" ht="16" x14ac:dyDescent="0.2">
      <c r="A57" s="45"/>
      <c r="B57" s="45"/>
      <c r="C57" s="45"/>
      <c r="D57" s="45"/>
      <c r="E57" s="45"/>
      <c r="F57" s="45"/>
      <c r="G57" s="45"/>
      <c r="N57" s="47" t="s">
        <v>218</v>
      </c>
      <c r="O57" s="47" t="s">
        <v>43</v>
      </c>
      <c r="P57" s="47">
        <v>76269</v>
      </c>
      <c r="Q57" s="47">
        <v>2017</v>
      </c>
    </row>
    <row r="58" spans="1:17" ht="16" x14ac:dyDescent="0.2">
      <c r="A58" s="44"/>
      <c r="B58" s="44"/>
      <c r="C58" s="44"/>
      <c r="D58" s="44"/>
      <c r="E58" s="44"/>
      <c r="F58" s="44"/>
      <c r="G58" s="44"/>
      <c r="N58" s="47" t="s">
        <v>218</v>
      </c>
      <c r="O58" s="47" t="s">
        <v>44</v>
      </c>
      <c r="P58" s="47">
        <v>15424</v>
      </c>
      <c r="Q58" s="47">
        <v>2017</v>
      </c>
    </row>
    <row r="59" spans="1:17" ht="16" x14ac:dyDescent="0.2">
      <c r="A59" s="45"/>
      <c r="B59" s="45"/>
      <c r="C59" s="45"/>
      <c r="D59" s="45"/>
      <c r="E59" s="45"/>
      <c r="F59" s="45"/>
      <c r="G59" s="45"/>
      <c r="N59" s="47" t="s">
        <v>219</v>
      </c>
      <c r="O59" s="47" t="s">
        <v>43</v>
      </c>
      <c r="P59" s="47">
        <v>282651</v>
      </c>
      <c r="Q59" s="47">
        <v>2017</v>
      </c>
    </row>
    <row r="60" spans="1:17" ht="16" x14ac:dyDescent="0.2">
      <c r="A60" s="44"/>
      <c r="B60" s="44"/>
      <c r="C60" s="44"/>
      <c r="D60" s="44"/>
      <c r="E60" s="44"/>
      <c r="F60" s="44"/>
      <c r="G60" s="44"/>
      <c r="N60" s="47" t="s">
        <v>219</v>
      </c>
      <c r="O60" s="47" t="s">
        <v>44</v>
      </c>
      <c r="P60" s="47">
        <v>158171</v>
      </c>
      <c r="Q60" s="47">
        <v>2017</v>
      </c>
    </row>
    <row r="61" spans="1:17" ht="16" x14ac:dyDescent="0.2">
      <c r="A61" s="45"/>
      <c r="B61" s="45"/>
      <c r="C61" s="45"/>
      <c r="D61" s="45"/>
      <c r="E61" s="45"/>
      <c r="F61" s="45"/>
      <c r="G61" s="45"/>
      <c r="N61" s="47" t="s">
        <v>220</v>
      </c>
      <c r="O61" s="47" t="s">
        <v>43</v>
      </c>
      <c r="P61" s="47">
        <v>5714</v>
      </c>
      <c r="Q61" s="47">
        <v>2017</v>
      </c>
    </row>
    <row r="62" spans="1:17" ht="16" x14ac:dyDescent="0.2">
      <c r="A62" s="44"/>
      <c r="B62" s="44"/>
      <c r="C62" s="44"/>
      <c r="D62" s="44"/>
      <c r="E62" s="44"/>
      <c r="F62" s="44"/>
      <c r="G62" s="44"/>
      <c r="N62" s="47" t="s">
        <v>220</v>
      </c>
      <c r="O62" s="47" t="s">
        <v>44</v>
      </c>
      <c r="P62" s="47">
        <v>5819</v>
      </c>
      <c r="Q62" s="47">
        <v>2017</v>
      </c>
    </row>
    <row r="63" spans="1:17" ht="16" x14ac:dyDescent="0.2">
      <c r="A63" s="45"/>
      <c r="B63" s="45"/>
      <c r="C63" s="45"/>
      <c r="D63" s="45"/>
      <c r="E63" s="45"/>
      <c r="F63" s="45"/>
      <c r="G63" s="45"/>
      <c r="N63" s="47" t="s">
        <v>221</v>
      </c>
      <c r="O63" s="47" t="s">
        <v>43</v>
      </c>
      <c r="P63" s="47">
        <v>45505</v>
      </c>
      <c r="Q63" s="47">
        <v>2017</v>
      </c>
    </row>
    <row r="64" spans="1:17" ht="16" x14ac:dyDescent="0.2">
      <c r="A64" s="44"/>
      <c r="B64" s="44"/>
      <c r="C64" s="44"/>
      <c r="D64" s="44"/>
      <c r="E64" s="44"/>
      <c r="F64" s="44"/>
      <c r="G64" s="44"/>
      <c r="N64" s="47" t="s">
        <v>221</v>
      </c>
      <c r="O64" s="47" t="s">
        <v>44</v>
      </c>
      <c r="P64" s="47">
        <v>42960</v>
      </c>
      <c r="Q64" s="47">
        <v>2017</v>
      </c>
    </row>
    <row r="65" spans="1:17" ht="16" x14ac:dyDescent="0.2">
      <c r="A65" s="45"/>
      <c r="B65" s="45"/>
      <c r="C65" s="45"/>
      <c r="D65" s="45"/>
      <c r="E65" s="45"/>
      <c r="F65" s="45"/>
      <c r="G65" s="45"/>
      <c r="N65" s="47" t="s">
        <v>215</v>
      </c>
      <c r="O65" s="47" t="s">
        <v>44</v>
      </c>
      <c r="P65" s="47">
        <v>2482</v>
      </c>
      <c r="Q65" s="47">
        <v>2018</v>
      </c>
    </row>
    <row r="66" spans="1:17" ht="16" x14ac:dyDescent="0.2">
      <c r="A66" s="44"/>
      <c r="B66" s="44"/>
      <c r="C66" s="44"/>
      <c r="D66" s="44"/>
      <c r="E66" s="44"/>
      <c r="F66" s="44"/>
      <c r="G66" s="44"/>
      <c r="N66" s="47" t="s">
        <v>220</v>
      </c>
      <c r="O66" s="47" t="s">
        <v>44</v>
      </c>
      <c r="P66" s="47">
        <v>1592</v>
      </c>
      <c r="Q66" s="47">
        <v>2018</v>
      </c>
    </row>
    <row r="67" spans="1:17" ht="16" x14ac:dyDescent="0.2">
      <c r="A67" s="45"/>
      <c r="B67" s="45"/>
      <c r="C67" s="45"/>
      <c r="D67" s="45"/>
      <c r="E67" s="45"/>
      <c r="F67" s="45"/>
      <c r="G67" s="45"/>
      <c r="N67" s="47" t="s">
        <v>216</v>
      </c>
      <c r="O67" s="47" t="s">
        <v>44</v>
      </c>
      <c r="P67" s="47">
        <v>1726</v>
      </c>
      <c r="Q67" s="47">
        <v>2018</v>
      </c>
    </row>
    <row r="68" spans="1:17" ht="16" x14ac:dyDescent="0.2">
      <c r="A68" s="44"/>
      <c r="B68" s="44"/>
      <c r="C68" s="44"/>
      <c r="D68" s="44"/>
      <c r="E68" s="44"/>
      <c r="F68" s="44"/>
      <c r="G68" s="44"/>
      <c r="N68" s="47" t="s">
        <v>217</v>
      </c>
      <c r="O68" s="47" t="s">
        <v>44</v>
      </c>
      <c r="P68" s="47">
        <v>2134</v>
      </c>
      <c r="Q68" s="47">
        <v>2018</v>
      </c>
    </row>
    <row r="69" spans="1:17" ht="16" x14ac:dyDescent="0.2">
      <c r="A69" s="45"/>
      <c r="B69" s="45"/>
      <c r="C69" s="45"/>
      <c r="D69" s="45"/>
      <c r="E69" s="45"/>
      <c r="F69" s="45"/>
      <c r="G69" s="45"/>
      <c r="N69" s="47" t="s">
        <v>218</v>
      </c>
      <c r="O69" s="47" t="s">
        <v>44</v>
      </c>
      <c r="P69" s="47">
        <v>6788</v>
      </c>
      <c r="Q69" s="47">
        <v>2018</v>
      </c>
    </row>
    <row r="70" spans="1:17" ht="16" x14ac:dyDescent="0.2">
      <c r="A70" s="44"/>
      <c r="B70" s="44"/>
      <c r="C70" s="44"/>
      <c r="D70" s="44"/>
      <c r="E70" s="44"/>
      <c r="F70" s="44"/>
      <c r="G70" s="44"/>
      <c r="N70" s="47" t="s">
        <v>219</v>
      </c>
      <c r="O70" s="47" t="s">
        <v>44</v>
      </c>
      <c r="P70" s="47">
        <v>75976</v>
      </c>
      <c r="Q70" s="47">
        <v>2018</v>
      </c>
    </row>
    <row r="71" spans="1:17" ht="16" x14ac:dyDescent="0.2">
      <c r="A71" s="45"/>
      <c r="B71" s="45"/>
      <c r="C71" s="45"/>
      <c r="D71" s="45"/>
      <c r="E71" s="45"/>
      <c r="F71" s="45"/>
      <c r="G71" s="45"/>
      <c r="N71" s="47" t="s">
        <v>221</v>
      </c>
      <c r="O71" s="47" t="s">
        <v>44</v>
      </c>
      <c r="P71" s="47">
        <v>11358</v>
      </c>
      <c r="Q71" s="47">
        <v>2018</v>
      </c>
    </row>
    <row r="72" spans="1:17" ht="16" x14ac:dyDescent="0.2">
      <c r="A72" s="44"/>
      <c r="B72" s="44"/>
      <c r="C72" s="44"/>
      <c r="D72" s="44"/>
      <c r="E72" s="44"/>
      <c r="F72" s="44"/>
      <c r="G72" s="44"/>
      <c r="N72" s="47" t="s">
        <v>215</v>
      </c>
      <c r="O72" s="47" t="s">
        <v>43</v>
      </c>
      <c r="P72" s="47">
        <v>2582</v>
      </c>
      <c r="Q72" s="47">
        <v>2018</v>
      </c>
    </row>
    <row r="73" spans="1:17" ht="16" x14ac:dyDescent="0.2">
      <c r="A73" s="45"/>
      <c r="B73" s="45"/>
      <c r="C73" s="45"/>
      <c r="D73" s="45"/>
      <c r="E73" s="45"/>
      <c r="F73" s="45"/>
      <c r="G73" s="45"/>
      <c r="N73" s="47" t="s">
        <v>220</v>
      </c>
      <c r="O73" s="47" t="s">
        <v>43</v>
      </c>
      <c r="P73" s="47">
        <v>1656</v>
      </c>
      <c r="Q73" s="47">
        <v>2018</v>
      </c>
    </row>
    <row r="74" spans="1:17" ht="16" x14ac:dyDescent="0.2">
      <c r="A74" s="44"/>
      <c r="B74" s="44"/>
      <c r="C74" s="44"/>
      <c r="D74" s="44"/>
      <c r="E74" s="44"/>
      <c r="F74" s="44"/>
      <c r="G74" s="44"/>
      <c r="N74" s="47" t="s">
        <v>216</v>
      </c>
      <c r="O74" s="47" t="s">
        <v>43</v>
      </c>
      <c r="P74" s="47">
        <v>1876</v>
      </c>
      <c r="Q74" s="47">
        <v>2018</v>
      </c>
    </row>
    <row r="75" spans="1:17" ht="16" x14ac:dyDescent="0.2">
      <c r="A75" s="45"/>
      <c r="B75" s="45"/>
      <c r="C75" s="45"/>
      <c r="D75" s="45"/>
      <c r="E75" s="45"/>
      <c r="F75" s="45"/>
      <c r="G75" s="45"/>
      <c r="N75" s="47" t="s">
        <v>217</v>
      </c>
      <c r="O75" s="47" t="s">
        <v>43</v>
      </c>
      <c r="P75" s="47">
        <v>11754</v>
      </c>
      <c r="Q75" s="47">
        <v>2018</v>
      </c>
    </row>
    <row r="76" spans="1:17" ht="16" x14ac:dyDescent="0.2">
      <c r="A76" s="44"/>
      <c r="B76" s="44"/>
      <c r="C76" s="44"/>
      <c r="D76" s="44"/>
      <c r="E76" s="44"/>
      <c r="F76" s="44"/>
      <c r="G76" s="44"/>
      <c r="N76" s="47" t="s">
        <v>218</v>
      </c>
      <c r="O76" s="47" t="s">
        <v>43</v>
      </c>
      <c r="P76" s="47">
        <v>27600</v>
      </c>
      <c r="Q76" s="47">
        <v>2018</v>
      </c>
    </row>
    <row r="77" spans="1:17" ht="16" x14ac:dyDescent="0.2">
      <c r="A77" s="45"/>
      <c r="B77" s="45"/>
      <c r="C77" s="45"/>
      <c r="D77" s="45"/>
      <c r="E77" s="45"/>
      <c r="F77" s="45"/>
      <c r="G77" s="45"/>
      <c r="N77" s="47" t="s">
        <v>219</v>
      </c>
      <c r="O77" s="47" t="s">
        <v>43</v>
      </c>
      <c r="P77" s="47">
        <v>96372</v>
      </c>
      <c r="Q77" s="47">
        <v>2018</v>
      </c>
    </row>
    <row r="78" spans="1:17" ht="16" x14ac:dyDescent="0.2">
      <c r="A78" s="44"/>
      <c r="B78" s="44"/>
      <c r="C78" s="44"/>
      <c r="D78" s="44"/>
      <c r="E78" s="44"/>
      <c r="F78" s="44"/>
      <c r="G78" s="44"/>
      <c r="N78" s="47" t="s">
        <v>221</v>
      </c>
      <c r="O78" s="47" t="s">
        <v>43</v>
      </c>
      <c r="P78" s="47">
        <v>9640</v>
      </c>
      <c r="Q78" s="47">
        <v>2018</v>
      </c>
    </row>
    <row r="79" spans="1:17" ht="16" x14ac:dyDescent="0.2">
      <c r="A79" s="45"/>
      <c r="B79" s="45"/>
      <c r="C79" s="45"/>
      <c r="D79" s="45"/>
      <c r="E79" s="45"/>
      <c r="F79" s="45"/>
      <c r="G79" s="45"/>
      <c r="N79" s="47" t="s">
        <v>215</v>
      </c>
      <c r="O79" s="47" t="s">
        <v>43</v>
      </c>
      <c r="P79" s="47">
        <v>1038</v>
      </c>
      <c r="Q79" s="47">
        <v>2019</v>
      </c>
    </row>
    <row r="80" spans="1:17" ht="16" x14ac:dyDescent="0.2">
      <c r="A80" s="44"/>
      <c r="B80" s="44"/>
      <c r="C80" s="44"/>
      <c r="D80" s="44"/>
      <c r="E80" s="44"/>
      <c r="F80" s="44"/>
      <c r="G80" s="44"/>
      <c r="N80" s="47" t="s">
        <v>215</v>
      </c>
      <c r="O80" s="47" t="s">
        <v>44</v>
      </c>
      <c r="P80" s="47">
        <v>1027</v>
      </c>
      <c r="Q80" s="47">
        <v>2019</v>
      </c>
    </row>
    <row r="81" spans="1:17" ht="16" x14ac:dyDescent="0.2">
      <c r="A81" s="45"/>
      <c r="B81" s="45"/>
      <c r="C81" s="45"/>
      <c r="D81" s="45"/>
      <c r="E81" s="45"/>
      <c r="F81" s="45"/>
      <c r="G81" s="45"/>
      <c r="N81" s="47" t="s">
        <v>216</v>
      </c>
      <c r="O81" s="47" t="s">
        <v>43</v>
      </c>
      <c r="P81" s="47">
        <v>660</v>
      </c>
      <c r="Q81" s="47">
        <v>2019</v>
      </c>
    </row>
    <row r="82" spans="1:17" ht="16" x14ac:dyDescent="0.2">
      <c r="A82" s="44"/>
      <c r="B82" s="44"/>
      <c r="C82" s="44"/>
      <c r="D82" s="44"/>
      <c r="E82" s="44"/>
      <c r="F82" s="44"/>
      <c r="G82" s="44"/>
      <c r="N82" s="47" t="s">
        <v>216</v>
      </c>
      <c r="O82" s="47" t="s">
        <v>44</v>
      </c>
      <c r="P82" s="47">
        <v>616</v>
      </c>
      <c r="Q82" s="47">
        <v>2019</v>
      </c>
    </row>
    <row r="83" spans="1:17" ht="16" x14ac:dyDescent="0.2">
      <c r="A83" s="45"/>
      <c r="B83" s="45"/>
      <c r="C83" s="45"/>
      <c r="D83" s="45"/>
      <c r="E83" s="45"/>
      <c r="F83" s="45"/>
      <c r="G83" s="45"/>
      <c r="N83" s="47" t="s">
        <v>217</v>
      </c>
      <c r="O83" s="47" t="s">
        <v>43</v>
      </c>
      <c r="P83" s="47">
        <v>5044</v>
      </c>
      <c r="Q83" s="47">
        <v>2019</v>
      </c>
    </row>
    <row r="84" spans="1:17" ht="16" x14ac:dyDescent="0.2">
      <c r="A84" s="44"/>
      <c r="B84" s="44"/>
      <c r="C84" s="44"/>
      <c r="D84" s="44"/>
      <c r="E84" s="44"/>
      <c r="F84" s="44"/>
      <c r="G84" s="44"/>
      <c r="N84" s="47" t="s">
        <v>217</v>
      </c>
      <c r="O84" s="47" t="s">
        <v>44</v>
      </c>
      <c r="P84" s="47">
        <v>957</v>
      </c>
      <c r="Q84" s="47">
        <v>2019</v>
      </c>
    </row>
    <row r="85" spans="1:17" ht="16" x14ac:dyDescent="0.2">
      <c r="A85" s="45"/>
      <c r="B85" s="45"/>
      <c r="C85" s="45"/>
      <c r="D85" s="45"/>
      <c r="E85" s="45"/>
      <c r="F85" s="45"/>
      <c r="G85" s="45"/>
      <c r="N85" s="47" t="s">
        <v>218</v>
      </c>
      <c r="O85" s="47" t="s">
        <v>43</v>
      </c>
      <c r="P85" s="47">
        <v>12261</v>
      </c>
      <c r="Q85" s="47">
        <v>2019</v>
      </c>
    </row>
    <row r="86" spans="1:17" ht="16" x14ac:dyDescent="0.2">
      <c r="A86" s="44"/>
      <c r="B86" s="44"/>
      <c r="C86" s="44"/>
      <c r="D86" s="44"/>
      <c r="E86" s="44"/>
      <c r="F86" s="44"/>
      <c r="G86" s="44"/>
      <c r="N86" s="47" t="s">
        <v>218</v>
      </c>
      <c r="O86" s="47" t="s">
        <v>44</v>
      </c>
      <c r="P86" s="47">
        <v>3075</v>
      </c>
      <c r="Q86" s="47">
        <v>2019</v>
      </c>
    </row>
    <row r="87" spans="1:17" ht="16" x14ac:dyDescent="0.2">
      <c r="A87" s="45"/>
      <c r="B87" s="45"/>
      <c r="C87" s="45"/>
      <c r="D87" s="45"/>
      <c r="E87" s="45"/>
      <c r="F87" s="45"/>
      <c r="G87" s="45"/>
      <c r="N87" s="47" t="s">
        <v>219</v>
      </c>
      <c r="O87" s="47" t="s">
        <v>43</v>
      </c>
      <c r="P87" s="47">
        <v>42880</v>
      </c>
      <c r="Q87" s="47">
        <v>2019</v>
      </c>
    </row>
    <row r="88" spans="1:17" ht="16" x14ac:dyDescent="0.2">
      <c r="A88" s="44"/>
      <c r="B88" s="44"/>
      <c r="C88" s="44"/>
      <c r="D88" s="44"/>
      <c r="E88" s="44"/>
      <c r="F88" s="44"/>
      <c r="G88" s="44"/>
      <c r="N88" s="47" t="s">
        <v>219</v>
      </c>
      <c r="O88" s="47" t="s">
        <v>44</v>
      </c>
      <c r="P88" s="47">
        <v>33659</v>
      </c>
      <c r="Q88" s="47">
        <v>2019</v>
      </c>
    </row>
    <row r="89" spans="1:17" ht="16" x14ac:dyDescent="0.2">
      <c r="A89" s="45"/>
      <c r="B89" s="45"/>
      <c r="C89" s="45"/>
      <c r="D89" s="45"/>
      <c r="E89" s="45"/>
      <c r="F89" s="45"/>
      <c r="G89" s="45"/>
      <c r="N89" s="47" t="s">
        <v>220</v>
      </c>
      <c r="O89" s="47" t="s">
        <v>43</v>
      </c>
      <c r="P89" s="47">
        <v>572</v>
      </c>
      <c r="Q89" s="47">
        <v>2019</v>
      </c>
    </row>
    <row r="90" spans="1:17" ht="16" x14ac:dyDescent="0.2">
      <c r="A90" s="44"/>
      <c r="B90" s="44"/>
      <c r="C90" s="44"/>
      <c r="D90" s="44"/>
      <c r="E90" s="44"/>
      <c r="F90" s="44"/>
      <c r="G90" s="44"/>
      <c r="N90" s="47" t="s">
        <v>220</v>
      </c>
      <c r="O90" s="47" t="s">
        <v>44</v>
      </c>
      <c r="P90" s="47">
        <v>597</v>
      </c>
      <c r="Q90" s="47">
        <v>2019</v>
      </c>
    </row>
    <row r="91" spans="1:17" ht="16" x14ac:dyDescent="0.2">
      <c r="A91" s="45"/>
      <c r="B91" s="45"/>
      <c r="C91" s="45"/>
      <c r="D91" s="45"/>
      <c r="E91" s="45"/>
      <c r="F91" s="45"/>
      <c r="G91" s="45"/>
      <c r="N91" s="47" t="s">
        <v>221</v>
      </c>
      <c r="O91" s="47" t="s">
        <v>43</v>
      </c>
      <c r="P91" s="47">
        <v>3575</v>
      </c>
      <c r="Q91" s="47">
        <v>2019</v>
      </c>
    </row>
    <row r="92" spans="1:17" ht="16" x14ac:dyDescent="0.2">
      <c r="A92" s="44"/>
      <c r="B92" s="44"/>
      <c r="C92" s="44"/>
      <c r="D92" s="44"/>
      <c r="E92" s="44"/>
      <c r="F92" s="44"/>
      <c r="G92" s="44"/>
      <c r="N92" s="47" t="s">
        <v>221</v>
      </c>
      <c r="O92" s="47" t="s">
        <v>44</v>
      </c>
      <c r="P92" s="47">
        <v>4427</v>
      </c>
      <c r="Q92" s="47">
        <v>2019</v>
      </c>
    </row>
    <row r="93" spans="1:17" ht="16" x14ac:dyDescent="0.2">
      <c r="A93" s="45"/>
      <c r="B93" s="45"/>
      <c r="C93" s="45"/>
      <c r="D93" s="45"/>
      <c r="E93" s="45"/>
      <c r="F93" s="45"/>
      <c r="G93" s="45"/>
      <c r="N93" s="47" t="s">
        <v>215</v>
      </c>
      <c r="O93" s="47" t="s">
        <v>43</v>
      </c>
      <c r="P93" s="47">
        <v>751</v>
      </c>
      <c r="Q93" s="47">
        <v>2020</v>
      </c>
    </row>
    <row r="94" spans="1:17" ht="16" x14ac:dyDescent="0.2">
      <c r="A94" s="44"/>
      <c r="B94" s="44"/>
      <c r="C94" s="44"/>
      <c r="D94" s="44"/>
      <c r="E94" s="44"/>
      <c r="F94" s="44"/>
      <c r="G94" s="44"/>
      <c r="N94" s="47" t="s">
        <v>215</v>
      </c>
      <c r="O94" s="47" t="s">
        <v>44</v>
      </c>
      <c r="P94" s="47">
        <v>747</v>
      </c>
      <c r="Q94" s="47">
        <v>2020</v>
      </c>
    </row>
    <row r="95" spans="1:17" ht="16" x14ac:dyDescent="0.2">
      <c r="A95" s="45"/>
      <c r="B95" s="45"/>
      <c r="C95" s="45"/>
      <c r="D95" s="45"/>
      <c r="E95" s="45"/>
      <c r="F95" s="45"/>
      <c r="G95" s="45"/>
      <c r="N95" s="47" t="s">
        <v>216</v>
      </c>
      <c r="O95" s="47" t="s">
        <v>43</v>
      </c>
      <c r="P95" s="47">
        <v>422</v>
      </c>
      <c r="Q95" s="47">
        <v>2020</v>
      </c>
    </row>
    <row r="96" spans="1:17" ht="16" x14ac:dyDescent="0.2">
      <c r="A96" s="44"/>
      <c r="B96" s="44"/>
      <c r="C96" s="44"/>
      <c r="D96" s="44"/>
      <c r="E96" s="44"/>
      <c r="F96" s="44"/>
      <c r="G96" s="44"/>
      <c r="N96" s="47" t="s">
        <v>216</v>
      </c>
      <c r="O96" s="47" t="s">
        <v>44</v>
      </c>
      <c r="P96" s="47">
        <v>365</v>
      </c>
      <c r="Q96" s="47">
        <v>2020</v>
      </c>
    </row>
    <row r="97" spans="1:17" ht="16" x14ac:dyDescent="0.2">
      <c r="A97" s="45"/>
      <c r="B97" s="45"/>
      <c r="C97" s="45"/>
      <c r="D97" s="45"/>
      <c r="E97" s="45"/>
      <c r="F97" s="45"/>
      <c r="G97" s="45"/>
      <c r="N97" s="47" t="s">
        <v>217</v>
      </c>
      <c r="O97" s="47" t="s">
        <v>43</v>
      </c>
      <c r="P97" s="47">
        <v>3781</v>
      </c>
      <c r="Q97" s="47">
        <v>2020</v>
      </c>
    </row>
    <row r="98" spans="1:17" ht="16" x14ac:dyDescent="0.2">
      <c r="A98" s="44"/>
      <c r="B98" s="44"/>
      <c r="C98" s="44"/>
      <c r="D98" s="44"/>
      <c r="E98" s="44"/>
      <c r="F98" s="44"/>
      <c r="G98" s="44"/>
      <c r="N98" s="47" t="s">
        <v>217</v>
      </c>
      <c r="O98" s="47" t="s">
        <v>44</v>
      </c>
      <c r="P98" s="47">
        <v>635</v>
      </c>
      <c r="Q98" s="47">
        <v>2020</v>
      </c>
    </row>
    <row r="99" spans="1:17" ht="16" x14ac:dyDescent="0.2">
      <c r="A99" s="45"/>
      <c r="B99" s="45"/>
      <c r="C99" s="45"/>
      <c r="D99" s="45"/>
      <c r="E99" s="45"/>
      <c r="F99" s="45"/>
      <c r="G99" s="45"/>
      <c r="N99" s="47" t="s">
        <v>218</v>
      </c>
      <c r="O99" s="47" t="s">
        <v>43</v>
      </c>
      <c r="P99" s="47">
        <v>9404</v>
      </c>
      <c r="Q99" s="47">
        <v>2020</v>
      </c>
    </row>
    <row r="100" spans="1:17" ht="16" x14ac:dyDescent="0.2">
      <c r="A100" s="44"/>
      <c r="B100" s="44"/>
      <c r="C100" s="44"/>
      <c r="D100" s="44"/>
      <c r="E100" s="44"/>
      <c r="F100" s="44"/>
      <c r="G100" s="44"/>
      <c r="N100" s="47" t="s">
        <v>218</v>
      </c>
      <c r="O100" s="47" t="s">
        <v>44</v>
      </c>
      <c r="P100" s="47">
        <v>2135</v>
      </c>
      <c r="Q100" s="47">
        <v>2020</v>
      </c>
    </row>
    <row r="101" spans="1:17" ht="16" x14ac:dyDescent="0.2">
      <c r="A101" s="45"/>
      <c r="B101" s="45"/>
      <c r="C101" s="45"/>
      <c r="D101" s="45"/>
      <c r="E101" s="45"/>
      <c r="F101" s="45"/>
      <c r="G101" s="45"/>
      <c r="N101" s="47" t="s">
        <v>219</v>
      </c>
      <c r="O101" s="47" t="s">
        <v>43</v>
      </c>
      <c r="P101" s="47">
        <v>30015</v>
      </c>
      <c r="Q101" s="47">
        <v>2020</v>
      </c>
    </row>
    <row r="102" spans="1:17" ht="16" x14ac:dyDescent="0.2">
      <c r="A102" s="44"/>
      <c r="B102" s="44"/>
      <c r="C102" s="44"/>
      <c r="D102" s="44"/>
      <c r="E102" s="44"/>
      <c r="F102" s="44"/>
      <c r="G102" s="44"/>
      <c r="N102" s="47" t="s">
        <v>219</v>
      </c>
      <c r="O102" s="47" t="s">
        <v>44</v>
      </c>
      <c r="P102" s="47">
        <v>24690</v>
      </c>
      <c r="Q102" s="47">
        <v>2020</v>
      </c>
    </row>
    <row r="103" spans="1:17" ht="16" x14ac:dyDescent="0.2">
      <c r="A103" s="45"/>
      <c r="B103" s="45"/>
      <c r="C103" s="45"/>
      <c r="D103" s="45"/>
      <c r="E103" s="45"/>
      <c r="F103" s="45"/>
      <c r="G103" s="45"/>
      <c r="N103" s="47" t="s">
        <v>220</v>
      </c>
      <c r="O103" s="47" t="s">
        <v>43</v>
      </c>
      <c r="P103" s="47">
        <v>313</v>
      </c>
      <c r="Q103" s="47">
        <v>2020</v>
      </c>
    </row>
    <row r="104" spans="1:17" ht="16" x14ac:dyDescent="0.2">
      <c r="A104" s="44"/>
      <c r="B104" s="44"/>
      <c r="C104" s="44"/>
      <c r="D104" s="44"/>
      <c r="E104" s="44"/>
      <c r="F104" s="44"/>
      <c r="G104" s="44"/>
      <c r="N104" s="47" t="s">
        <v>220</v>
      </c>
      <c r="O104" s="47" t="s">
        <v>44</v>
      </c>
      <c r="P104" s="47">
        <v>305</v>
      </c>
      <c r="Q104" s="47">
        <v>2020</v>
      </c>
    </row>
    <row r="105" spans="1:17" ht="16" x14ac:dyDescent="0.2">
      <c r="A105" s="45"/>
      <c r="B105" s="45"/>
      <c r="C105" s="45"/>
      <c r="D105" s="45"/>
      <c r="E105" s="45"/>
      <c r="F105" s="45"/>
      <c r="G105" s="45"/>
      <c r="N105" s="47" t="s">
        <v>221</v>
      </c>
      <c r="O105" s="47" t="s">
        <v>43</v>
      </c>
      <c r="P105" s="47">
        <v>2524</v>
      </c>
      <c r="Q105" s="47">
        <v>2020</v>
      </c>
    </row>
    <row r="106" spans="1:17" ht="16" x14ac:dyDescent="0.2">
      <c r="A106" s="44"/>
      <c r="B106" s="44"/>
      <c r="C106" s="44"/>
      <c r="D106" s="44"/>
      <c r="E106" s="44"/>
      <c r="F106" s="44"/>
      <c r="G106" s="44"/>
      <c r="N106" s="47" t="s">
        <v>221</v>
      </c>
      <c r="O106" s="47" t="s">
        <v>44</v>
      </c>
      <c r="P106" s="47">
        <v>3209</v>
      </c>
      <c r="Q106" s="47">
        <v>2020</v>
      </c>
    </row>
    <row r="107" spans="1:17" ht="16" x14ac:dyDescent="0.2">
      <c r="A107" s="45"/>
      <c r="B107" s="45"/>
      <c r="C107" s="45"/>
      <c r="D107" s="45"/>
      <c r="E107" s="45"/>
      <c r="F107" s="45"/>
      <c r="G107" s="45"/>
      <c r="N107" s="47" t="s">
        <v>215</v>
      </c>
      <c r="O107" s="47" t="s">
        <v>43</v>
      </c>
      <c r="P107" s="47">
        <v>1454</v>
      </c>
      <c r="Q107" s="47">
        <v>2020</v>
      </c>
    </row>
    <row r="108" spans="1:17" ht="16" x14ac:dyDescent="0.2">
      <c r="A108" s="44"/>
      <c r="B108" s="44"/>
      <c r="C108" s="44"/>
      <c r="D108" s="44"/>
      <c r="E108" s="44"/>
      <c r="F108" s="44"/>
      <c r="G108" s="44"/>
      <c r="N108" s="47" t="s">
        <v>215</v>
      </c>
      <c r="O108" s="47" t="s">
        <v>44</v>
      </c>
      <c r="P108" s="47">
        <v>1280</v>
      </c>
      <c r="Q108" s="47">
        <v>2020</v>
      </c>
    </row>
    <row r="109" spans="1:17" ht="16" x14ac:dyDescent="0.2">
      <c r="A109" s="45"/>
      <c r="B109" s="45"/>
      <c r="C109" s="45"/>
      <c r="D109" s="45"/>
      <c r="E109" s="45"/>
      <c r="F109" s="45"/>
      <c r="G109" s="45"/>
      <c r="N109" s="47" t="s">
        <v>216</v>
      </c>
      <c r="O109" s="47" t="s">
        <v>43</v>
      </c>
      <c r="P109" s="47">
        <v>858</v>
      </c>
      <c r="Q109" s="47">
        <v>2020</v>
      </c>
    </row>
    <row r="110" spans="1:17" ht="16" x14ac:dyDescent="0.2">
      <c r="A110" s="44"/>
      <c r="B110" s="44"/>
      <c r="C110" s="44"/>
      <c r="D110" s="44"/>
      <c r="E110" s="44"/>
      <c r="F110" s="44"/>
      <c r="G110" s="44"/>
      <c r="N110" s="47" t="s">
        <v>216</v>
      </c>
      <c r="O110" s="47" t="s">
        <v>44</v>
      </c>
      <c r="P110" s="47">
        <v>610</v>
      </c>
      <c r="Q110" s="47">
        <v>2020</v>
      </c>
    </row>
    <row r="111" spans="1:17" ht="16" x14ac:dyDescent="0.2">
      <c r="A111" s="45"/>
      <c r="B111" s="45"/>
      <c r="C111" s="45"/>
      <c r="D111" s="45"/>
      <c r="E111" s="45"/>
      <c r="F111" s="45"/>
      <c r="G111" s="45"/>
      <c r="N111" s="47" t="s">
        <v>217</v>
      </c>
      <c r="O111" s="47" t="s">
        <v>43</v>
      </c>
      <c r="P111" s="47">
        <v>7642</v>
      </c>
      <c r="Q111" s="47">
        <v>2020</v>
      </c>
    </row>
    <row r="112" spans="1:17" ht="16" x14ac:dyDescent="0.2">
      <c r="A112" s="44"/>
      <c r="B112" s="44"/>
      <c r="C112" s="44"/>
      <c r="D112" s="44"/>
      <c r="E112" s="44"/>
      <c r="F112" s="44"/>
      <c r="G112" s="44"/>
      <c r="N112" s="47" t="s">
        <v>217</v>
      </c>
      <c r="O112" s="47" t="s">
        <v>44</v>
      </c>
      <c r="P112" s="47">
        <v>1186</v>
      </c>
      <c r="Q112" s="47">
        <v>2020</v>
      </c>
    </row>
    <row r="113" spans="1:17" ht="16" x14ac:dyDescent="0.2">
      <c r="A113" s="45"/>
      <c r="B113" s="45"/>
      <c r="C113" s="45"/>
      <c r="D113" s="45"/>
      <c r="E113" s="45"/>
      <c r="F113" s="45"/>
      <c r="G113" s="45"/>
      <c r="N113" s="47" t="s">
        <v>218</v>
      </c>
      <c r="O113" s="47" t="s">
        <v>43</v>
      </c>
      <c r="P113" s="47">
        <v>18268</v>
      </c>
      <c r="Q113" s="47">
        <v>2020</v>
      </c>
    </row>
    <row r="114" spans="1:17" ht="16" x14ac:dyDescent="0.2">
      <c r="A114" s="44"/>
      <c r="B114" s="44"/>
      <c r="C114" s="44"/>
      <c r="D114" s="44"/>
      <c r="E114" s="44"/>
      <c r="F114" s="44"/>
      <c r="G114" s="44"/>
      <c r="N114" s="47" t="s">
        <v>218</v>
      </c>
      <c r="O114" s="47" t="s">
        <v>44</v>
      </c>
      <c r="P114" s="47">
        <v>4054</v>
      </c>
      <c r="Q114" s="47">
        <v>2020</v>
      </c>
    </row>
    <row r="115" spans="1:17" ht="16" x14ac:dyDescent="0.2">
      <c r="A115" s="45"/>
      <c r="B115" s="45"/>
      <c r="C115" s="45"/>
      <c r="D115" s="45"/>
      <c r="E115" s="45"/>
      <c r="F115" s="45"/>
      <c r="G115" s="45"/>
      <c r="N115" s="47" t="s">
        <v>219</v>
      </c>
      <c r="O115" s="47" t="s">
        <v>43</v>
      </c>
      <c r="P115" s="47">
        <v>56820</v>
      </c>
      <c r="Q115" s="47">
        <v>2020</v>
      </c>
    </row>
    <row r="116" spans="1:17" ht="16" x14ac:dyDescent="0.2">
      <c r="A116" s="44"/>
      <c r="B116" s="44"/>
      <c r="C116" s="44"/>
      <c r="D116" s="44"/>
      <c r="E116" s="44"/>
      <c r="F116" s="44"/>
      <c r="G116" s="44"/>
      <c r="N116" s="47" t="s">
        <v>219</v>
      </c>
      <c r="O116" s="47" t="s">
        <v>44</v>
      </c>
      <c r="P116" s="47">
        <v>43418</v>
      </c>
      <c r="Q116" s="47">
        <v>2020</v>
      </c>
    </row>
    <row r="117" spans="1:17" ht="16" x14ac:dyDescent="0.2">
      <c r="A117" s="45"/>
      <c r="B117" s="45"/>
      <c r="C117" s="45"/>
      <c r="D117" s="45"/>
      <c r="E117" s="45"/>
      <c r="F117" s="45"/>
      <c r="G117" s="45"/>
      <c r="N117" s="47" t="s">
        <v>220</v>
      </c>
      <c r="O117" s="47" t="s">
        <v>43</v>
      </c>
      <c r="P117" s="47">
        <v>634</v>
      </c>
      <c r="Q117" s="47">
        <v>2020</v>
      </c>
    </row>
    <row r="118" spans="1:17" ht="16" x14ac:dyDescent="0.2">
      <c r="A118" s="44"/>
      <c r="B118" s="44"/>
      <c r="C118" s="44"/>
      <c r="D118" s="44"/>
      <c r="E118" s="44"/>
      <c r="F118" s="44"/>
      <c r="G118" s="44"/>
      <c r="N118" s="47" t="s">
        <v>220</v>
      </c>
      <c r="O118" s="47" t="s">
        <v>44</v>
      </c>
      <c r="P118" s="47">
        <v>688</v>
      </c>
      <c r="Q118" s="47">
        <v>2020</v>
      </c>
    </row>
    <row r="119" spans="1:17" ht="16" x14ac:dyDescent="0.2">
      <c r="A119" s="45"/>
      <c r="B119" s="45"/>
      <c r="C119" s="45"/>
      <c r="D119" s="45"/>
      <c r="E119" s="45"/>
      <c r="F119" s="45"/>
      <c r="G119" s="45"/>
      <c r="N119" s="47" t="s">
        <v>221</v>
      </c>
      <c r="O119" s="47" t="s">
        <v>43</v>
      </c>
      <c r="P119" s="47">
        <v>5340</v>
      </c>
      <c r="Q119" s="47">
        <v>2020</v>
      </c>
    </row>
    <row r="120" spans="1:17" ht="16" x14ac:dyDescent="0.2">
      <c r="A120" s="44"/>
      <c r="B120" s="44"/>
      <c r="C120" s="44"/>
      <c r="D120" s="44"/>
      <c r="E120" s="44"/>
      <c r="F120" s="44"/>
      <c r="G120" s="44"/>
      <c r="N120" s="47" t="s">
        <v>221</v>
      </c>
      <c r="O120" s="47" t="s">
        <v>44</v>
      </c>
      <c r="P120" s="47">
        <v>6216</v>
      </c>
      <c r="Q120" s="47">
        <v>2020</v>
      </c>
    </row>
    <row r="121" spans="1:17" x14ac:dyDescent="0.2">
      <c r="A121" s="45"/>
      <c r="B121" s="45"/>
      <c r="C121" s="45"/>
      <c r="D121" s="45"/>
      <c r="E121" s="45"/>
      <c r="F121" s="45"/>
      <c r="G121" s="45"/>
    </row>
    <row r="122" spans="1:17" x14ac:dyDescent="0.2">
      <c r="A122" s="44"/>
      <c r="B122" s="44"/>
      <c r="C122" s="44"/>
      <c r="D122" s="44"/>
      <c r="E122" s="44"/>
      <c r="F122" s="44"/>
      <c r="G122" s="44"/>
    </row>
    <row r="123" spans="1:17" x14ac:dyDescent="0.2">
      <c r="A123" s="45"/>
      <c r="B123" s="45"/>
      <c r="C123" s="45"/>
      <c r="D123" s="45"/>
      <c r="E123" s="45"/>
      <c r="F123" s="45"/>
      <c r="G123" s="45"/>
    </row>
    <row r="124" spans="1:17" x14ac:dyDescent="0.2">
      <c r="A124" s="44"/>
      <c r="B124" s="44"/>
      <c r="C124" s="44"/>
      <c r="D124" s="44"/>
      <c r="E124" s="44"/>
      <c r="F124" s="44"/>
      <c r="G124" s="44"/>
    </row>
    <row r="125" spans="1:17" x14ac:dyDescent="0.2">
      <c r="A125" s="45"/>
      <c r="B125" s="45"/>
      <c r="C125" s="45"/>
      <c r="D125" s="45"/>
      <c r="E125" s="45"/>
      <c r="F125" s="45"/>
      <c r="G125" s="45"/>
    </row>
    <row r="126" spans="1:17" x14ac:dyDescent="0.2">
      <c r="A126" s="44"/>
      <c r="B126" s="44"/>
      <c r="C126" s="44"/>
      <c r="D126" s="44"/>
      <c r="E126" s="44"/>
      <c r="F126" s="44"/>
      <c r="G126" s="44"/>
    </row>
    <row r="127" spans="1:17" x14ac:dyDescent="0.2">
      <c r="A127" s="45"/>
      <c r="B127" s="45"/>
      <c r="C127" s="45"/>
      <c r="D127" s="45"/>
      <c r="E127" s="45"/>
      <c r="F127" s="45"/>
      <c r="G127" s="45"/>
    </row>
    <row r="128" spans="1:1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5"/>
      <c r="B129" s="45"/>
      <c r="C129" s="45"/>
      <c r="D129" s="45"/>
      <c r="E129" s="45"/>
      <c r="F129" s="45"/>
      <c r="G129" s="45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5"/>
      <c r="B131" s="45"/>
      <c r="C131" s="45"/>
      <c r="D131" s="45"/>
      <c r="E131" s="45"/>
      <c r="F131" s="45"/>
      <c r="G131" s="45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5"/>
      <c r="B133" s="45"/>
      <c r="C133" s="45"/>
      <c r="D133" s="45"/>
      <c r="E133" s="45"/>
      <c r="F133" s="45"/>
      <c r="G133" s="45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5"/>
      <c r="B135" s="45"/>
      <c r="C135" s="45"/>
      <c r="D135" s="45"/>
      <c r="E135" s="45"/>
      <c r="F135" s="45"/>
      <c r="G135" s="45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5"/>
      <c r="B137" s="45"/>
      <c r="C137" s="45"/>
      <c r="D137" s="45"/>
      <c r="E137" s="45"/>
      <c r="F137" s="45"/>
      <c r="G137" s="45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5"/>
      <c r="B139" s="45"/>
      <c r="C139" s="45"/>
      <c r="D139" s="45"/>
      <c r="E139" s="45"/>
      <c r="F139" s="45"/>
      <c r="G139" s="45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5"/>
      <c r="B141" s="45"/>
      <c r="C141" s="45"/>
      <c r="D141" s="45"/>
      <c r="E141" s="45"/>
      <c r="F141" s="45"/>
      <c r="G141" s="45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5"/>
      <c r="B143" s="45"/>
      <c r="C143" s="45"/>
      <c r="D143" s="45"/>
      <c r="E143" s="45"/>
      <c r="F143" s="45"/>
      <c r="G143" s="45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5"/>
      <c r="B145" s="45"/>
      <c r="C145" s="45"/>
      <c r="D145" s="45"/>
      <c r="E145" s="45"/>
      <c r="F145" s="45"/>
      <c r="G145" s="45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5"/>
      <c r="B147" s="45"/>
      <c r="C147" s="45"/>
      <c r="D147" s="45"/>
      <c r="E147" s="45"/>
      <c r="F147" s="45"/>
      <c r="G147" s="45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5"/>
      <c r="B149" s="45"/>
      <c r="C149" s="45"/>
      <c r="D149" s="45"/>
      <c r="E149" s="45"/>
      <c r="F149" s="45"/>
      <c r="G149" s="45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5"/>
      <c r="B151" s="45"/>
      <c r="C151" s="45"/>
      <c r="D151" s="45"/>
      <c r="E151" s="45"/>
      <c r="F151" s="45"/>
      <c r="G151" s="45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5"/>
      <c r="B153" s="45"/>
      <c r="C153" s="45"/>
      <c r="D153" s="45"/>
      <c r="E153" s="45"/>
      <c r="F153" s="45"/>
      <c r="G153" s="45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5"/>
      <c r="B155" s="45"/>
      <c r="C155" s="45"/>
      <c r="D155" s="45"/>
      <c r="E155" s="45"/>
      <c r="F155" s="45"/>
      <c r="G155" s="45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5"/>
      <c r="B157" s="45"/>
      <c r="C157" s="45"/>
      <c r="D157" s="45"/>
      <c r="E157" s="45"/>
      <c r="F157" s="45"/>
      <c r="G157" s="45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5"/>
      <c r="B159" s="45"/>
      <c r="C159" s="45"/>
      <c r="D159" s="45"/>
      <c r="E159" s="45"/>
      <c r="F159" s="45"/>
      <c r="G159" s="45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5"/>
      <c r="B161" s="45"/>
      <c r="C161" s="45"/>
      <c r="D161" s="45"/>
      <c r="E161" s="45"/>
      <c r="F161" s="45"/>
      <c r="G161" s="45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5"/>
      <c r="B163" s="45"/>
      <c r="C163" s="45"/>
      <c r="D163" s="45"/>
      <c r="E163" s="45"/>
      <c r="F163" s="45"/>
      <c r="G163" s="45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5"/>
      <c r="B165" s="45"/>
      <c r="C165" s="45"/>
      <c r="D165" s="45"/>
      <c r="E165" s="45"/>
      <c r="F165" s="45"/>
      <c r="G165" s="45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5"/>
      <c r="B167" s="45"/>
      <c r="C167" s="45"/>
      <c r="D167" s="45"/>
      <c r="E167" s="45"/>
      <c r="F167" s="45"/>
      <c r="G167" s="45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5"/>
      <c r="B169" s="45"/>
      <c r="C169" s="45"/>
      <c r="D169" s="45"/>
      <c r="E169" s="45"/>
      <c r="F169" s="45"/>
      <c r="G169" s="45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5"/>
      <c r="B171" s="45"/>
      <c r="C171" s="45"/>
      <c r="D171" s="45"/>
      <c r="E171" s="45"/>
      <c r="F171" s="45"/>
      <c r="G171" s="45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5"/>
      <c r="B173" s="45"/>
      <c r="C173" s="45"/>
      <c r="D173" s="45"/>
      <c r="E173" s="45"/>
      <c r="F173" s="45"/>
      <c r="G173" s="45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5"/>
      <c r="B175" s="45"/>
      <c r="C175" s="45"/>
      <c r="D175" s="45"/>
      <c r="E175" s="45"/>
      <c r="F175" s="45"/>
      <c r="G175" s="45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5"/>
      <c r="B177" s="45"/>
      <c r="C177" s="45"/>
      <c r="D177" s="45"/>
      <c r="E177" s="45"/>
      <c r="F177" s="45"/>
      <c r="G177" s="45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5"/>
      <c r="B179" s="45"/>
      <c r="C179" s="45"/>
      <c r="D179" s="45"/>
      <c r="E179" s="45"/>
      <c r="F179" s="45"/>
      <c r="G179" s="45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5"/>
      <c r="B181" s="45"/>
      <c r="C181" s="45"/>
      <c r="D181" s="45"/>
      <c r="E181" s="45"/>
      <c r="F181" s="45"/>
      <c r="G181" s="45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5"/>
      <c r="B183" s="45"/>
      <c r="C183" s="45"/>
      <c r="D183" s="45"/>
      <c r="E183" s="45"/>
      <c r="F183" s="45"/>
      <c r="G183" s="45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5"/>
      <c r="B185" s="45"/>
      <c r="C185" s="45"/>
      <c r="D185" s="45"/>
      <c r="E185" s="45"/>
      <c r="F185" s="45"/>
      <c r="G185" s="45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5"/>
      <c r="B187" s="45"/>
      <c r="C187" s="45"/>
      <c r="D187" s="45"/>
      <c r="E187" s="45"/>
      <c r="F187" s="45"/>
      <c r="G187" s="45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5"/>
      <c r="B189" s="45"/>
      <c r="C189" s="45"/>
      <c r="D189" s="45"/>
      <c r="E189" s="45"/>
      <c r="F189" s="45"/>
      <c r="G189" s="45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5"/>
      <c r="B191" s="45"/>
      <c r="C191" s="45"/>
      <c r="D191" s="45"/>
      <c r="E191" s="45"/>
      <c r="F191" s="45"/>
      <c r="G191" s="45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5"/>
      <c r="B193" s="45"/>
      <c r="C193" s="45"/>
      <c r="D193" s="45"/>
      <c r="E193" s="45"/>
      <c r="F193" s="45"/>
      <c r="G193" s="45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5"/>
      <c r="B195" s="45"/>
      <c r="C195" s="45"/>
      <c r="D195" s="45"/>
      <c r="E195" s="45"/>
      <c r="F195" s="45"/>
      <c r="G195" s="45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5"/>
      <c r="B197" s="45"/>
      <c r="C197" s="45"/>
      <c r="D197" s="45"/>
      <c r="E197" s="45"/>
      <c r="F197" s="45"/>
      <c r="G197" s="45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5"/>
      <c r="B199" s="45"/>
      <c r="C199" s="45"/>
      <c r="D199" s="45"/>
      <c r="E199" s="45"/>
      <c r="F199" s="45"/>
      <c r="G199" s="45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5"/>
      <c r="B201" s="45"/>
      <c r="C201" s="45"/>
      <c r="D201" s="45"/>
      <c r="E201" s="45"/>
      <c r="F201" s="45"/>
      <c r="G201" s="45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5"/>
      <c r="B203" s="45"/>
      <c r="C203" s="45"/>
      <c r="D203" s="45"/>
      <c r="E203" s="45"/>
      <c r="F203" s="45"/>
      <c r="G203" s="45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5"/>
      <c r="B205" s="45"/>
      <c r="C205" s="45"/>
      <c r="D205" s="45"/>
      <c r="E205" s="45"/>
      <c r="F205" s="45"/>
      <c r="G205" s="45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5"/>
      <c r="B207" s="45"/>
      <c r="C207" s="45"/>
      <c r="D207" s="45"/>
      <c r="E207" s="45"/>
      <c r="F207" s="45"/>
      <c r="G207" s="45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5"/>
      <c r="B209" s="45"/>
      <c r="C209" s="45"/>
      <c r="D209" s="45"/>
      <c r="E209" s="45"/>
      <c r="F209" s="45"/>
      <c r="G209" s="45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5"/>
      <c r="B211" s="45"/>
      <c r="C211" s="45"/>
      <c r="D211" s="45"/>
      <c r="E211" s="45"/>
      <c r="F211" s="45"/>
      <c r="G211" s="45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5"/>
      <c r="B213" s="45"/>
      <c r="C213" s="45"/>
      <c r="D213" s="45"/>
      <c r="E213" s="45"/>
      <c r="F213" s="45"/>
      <c r="G213" s="45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5"/>
      <c r="B215" s="45"/>
      <c r="C215" s="45"/>
      <c r="D215" s="45"/>
      <c r="E215" s="45"/>
      <c r="F215" s="45"/>
      <c r="G215" s="45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5"/>
      <c r="B217" s="45"/>
      <c r="C217" s="45"/>
      <c r="D217" s="45"/>
      <c r="E217" s="45"/>
      <c r="F217" s="45"/>
      <c r="G217" s="45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5"/>
      <c r="B219" s="45"/>
      <c r="C219" s="45"/>
      <c r="D219" s="45"/>
      <c r="E219" s="45"/>
      <c r="F219" s="45"/>
      <c r="G219" s="45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5"/>
      <c r="B221" s="45"/>
      <c r="C221" s="45"/>
      <c r="D221" s="45"/>
      <c r="E221" s="45"/>
      <c r="F221" s="45"/>
      <c r="G221" s="45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5"/>
      <c r="B223" s="45"/>
      <c r="C223" s="45"/>
      <c r="D223" s="45"/>
      <c r="E223" s="45"/>
      <c r="F223" s="45"/>
      <c r="G223" s="45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5"/>
      <c r="B225" s="45"/>
      <c r="C225" s="45"/>
      <c r="D225" s="45"/>
      <c r="E225" s="45"/>
      <c r="F225" s="45"/>
      <c r="G225" s="45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5"/>
      <c r="B227" s="45"/>
      <c r="C227" s="45"/>
      <c r="D227" s="45"/>
      <c r="E227" s="45"/>
      <c r="F227" s="45"/>
      <c r="G227" s="45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5"/>
      <c r="B229" s="45"/>
      <c r="C229" s="45"/>
      <c r="D229" s="45"/>
      <c r="E229" s="45"/>
      <c r="F229" s="45"/>
      <c r="G229" s="45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5"/>
      <c r="B231" s="45"/>
      <c r="C231" s="45"/>
      <c r="D231" s="45"/>
      <c r="E231" s="45"/>
      <c r="F231" s="45"/>
      <c r="G231" s="45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5"/>
      <c r="B233" s="45"/>
      <c r="C233" s="45"/>
      <c r="D233" s="45"/>
      <c r="E233" s="45"/>
      <c r="F233" s="45"/>
      <c r="G233" s="45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5"/>
      <c r="B235" s="45"/>
      <c r="C235" s="45"/>
      <c r="D235" s="45"/>
      <c r="E235" s="45"/>
      <c r="F235" s="45"/>
      <c r="G235" s="45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5"/>
      <c r="B237" s="45"/>
      <c r="C237" s="45"/>
      <c r="D237" s="45"/>
      <c r="E237" s="45"/>
      <c r="F237" s="45"/>
      <c r="G237" s="45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5"/>
      <c r="B239" s="45"/>
      <c r="C239" s="45"/>
      <c r="D239" s="45"/>
      <c r="E239" s="45"/>
      <c r="F239" s="45"/>
      <c r="G239" s="45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5"/>
      <c r="B241" s="45"/>
      <c r="C241" s="45"/>
      <c r="D241" s="45"/>
      <c r="E241" s="45"/>
      <c r="F241" s="45"/>
      <c r="G241" s="45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5"/>
      <c r="B243" s="45"/>
      <c r="C243" s="45"/>
      <c r="D243" s="45"/>
      <c r="E243" s="45"/>
      <c r="F243" s="45"/>
      <c r="G243" s="45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5"/>
      <c r="B245" s="45"/>
      <c r="C245" s="45"/>
      <c r="D245" s="45"/>
      <c r="E245" s="45"/>
      <c r="F245" s="45"/>
      <c r="G245" s="45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5"/>
      <c r="B247" s="45"/>
      <c r="C247" s="45"/>
      <c r="D247" s="45"/>
      <c r="E247" s="45"/>
      <c r="F247" s="45"/>
      <c r="G247" s="45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5"/>
      <c r="B249" s="45"/>
      <c r="C249" s="45"/>
      <c r="D249" s="45"/>
      <c r="E249" s="45"/>
      <c r="F249" s="45"/>
      <c r="G249" s="45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5"/>
      <c r="B251" s="45"/>
      <c r="C251" s="45"/>
      <c r="D251" s="45"/>
      <c r="E251" s="45"/>
      <c r="F251" s="45"/>
      <c r="G251" s="45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5"/>
      <c r="B253" s="45"/>
      <c r="C253" s="45"/>
      <c r="D253" s="45"/>
      <c r="E253" s="45"/>
      <c r="F253" s="45"/>
      <c r="G253" s="45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5"/>
      <c r="B255" s="45"/>
      <c r="C255" s="45"/>
      <c r="D255" s="45"/>
      <c r="E255" s="45"/>
      <c r="F255" s="45"/>
      <c r="G255" s="45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5"/>
      <c r="B297" s="45"/>
      <c r="C297" s="45"/>
      <c r="D297" s="45"/>
      <c r="E297" s="45"/>
      <c r="F297" s="45"/>
      <c r="G297" s="45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5"/>
      <c r="B299" s="45"/>
      <c r="C299" s="45"/>
      <c r="D299" s="45"/>
      <c r="E299" s="45"/>
      <c r="F299" s="45"/>
      <c r="G299" s="45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5"/>
      <c r="B301" s="45"/>
      <c r="C301" s="45"/>
      <c r="D301" s="45"/>
      <c r="E301" s="45"/>
      <c r="F301" s="45"/>
      <c r="G301" s="45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5"/>
      <c r="B303" s="45"/>
      <c r="C303" s="45"/>
      <c r="D303" s="45"/>
      <c r="E303" s="45"/>
      <c r="F303" s="45"/>
      <c r="G303" s="45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5"/>
      <c r="B305" s="45"/>
      <c r="C305" s="45"/>
      <c r="D305" s="45"/>
      <c r="E305" s="45"/>
      <c r="F305" s="45"/>
      <c r="G305" s="45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5"/>
      <c r="B307" s="45"/>
      <c r="C307" s="45"/>
      <c r="D307" s="45"/>
      <c r="E307" s="45"/>
      <c r="F307" s="45"/>
      <c r="G307" s="45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5"/>
      <c r="B309" s="45"/>
      <c r="C309" s="45"/>
      <c r="D309" s="45"/>
      <c r="E309" s="45"/>
      <c r="F309" s="45"/>
      <c r="G309" s="45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5"/>
      <c r="B311" s="45"/>
      <c r="C311" s="45"/>
      <c r="D311" s="45"/>
      <c r="E311" s="45"/>
      <c r="F311" s="45"/>
      <c r="G311" s="45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5"/>
      <c r="B313" s="45"/>
      <c r="C313" s="45"/>
      <c r="D313" s="45"/>
      <c r="E313" s="45"/>
      <c r="F313" s="45"/>
      <c r="G313" s="45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5"/>
      <c r="B315" s="45"/>
      <c r="C315" s="45"/>
      <c r="D315" s="45"/>
      <c r="E315" s="45"/>
      <c r="F315" s="45"/>
      <c r="G315" s="45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5"/>
      <c r="B317" s="45"/>
      <c r="C317" s="45"/>
      <c r="D317" s="45"/>
      <c r="E317" s="45"/>
      <c r="F317" s="45"/>
      <c r="G317" s="45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5"/>
      <c r="B319" s="45"/>
      <c r="C319" s="45"/>
      <c r="D319" s="45"/>
      <c r="E319" s="45"/>
      <c r="F319" s="45"/>
      <c r="G319" s="45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5"/>
      <c r="B321" s="45"/>
      <c r="C321" s="45"/>
      <c r="D321" s="45"/>
      <c r="E321" s="45"/>
      <c r="F321" s="45"/>
      <c r="G321" s="45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5"/>
      <c r="B323" s="45"/>
      <c r="C323" s="45"/>
      <c r="D323" s="45"/>
      <c r="E323" s="45"/>
      <c r="F323" s="45"/>
      <c r="G323" s="45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5"/>
      <c r="B325" s="45"/>
      <c r="C325" s="45"/>
      <c r="D325" s="45"/>
      <c r="E325" s="45"/>
      <c r="F325" s="45"/>
      <c r="G325" s="45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5"/>
      <c r="B327" s="45"/>
      <c r="C327" s="45"/>
      <c r="D327" s="45"/>
      <c r="E327" s="45"/>
      <c r="F327" s="45"/>
      <c r="G327" s="45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5"/>
      <c r="B329" s="45"/>
      <c r="C329" s="45"/>
      <c r="D329" s="45"/>
      <c r="E329" s="45"/>
      <c r="F329" s="45"/>
      <c r="G329" s="45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5"/>
      <c r="B331" s="45"/>
      <c r="C331" s="45"/>
      <c r="D331" s="45"/>
      <c r="E331" s="45"/>
      <c r="F331" s="45"/>
      <c r="G331" s="45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5"/>
      <c r="B333" s="45"/>
      <c r="C333" s="45"/>
      <c r="D333" s="45"/>
      <c r="E333" s="45"/>
      <c r="F333" s="45"/>
      <c r="G333" s="45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5"/>
      <c r="B335" s="45"/>
      <c r="C335" s="45"/>
      <c r="D335" s="45"/>
      <c r="E335" s="45"/>
      <c r="F335" s="45"/>
      <c r="G335" s="45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5"/>
      <c r="B337" s="45"/>
      <c r="C337" s="45"/>
      <c r="D337" s="45"/>
      <c r="E337" s="45"/>
      <c r="F337" s="45"/>
      <c r="G337" s="45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5"/>
      <c r="B339" s="45"/>
      <c r="C339" s="45"/>
      <c r="D339" s="45"/>
      <c r="E339" s="45"/>
      <c r="F339" s="45"/>
      <c r="G339" s="45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5"/>
      <c r="B341" s="45"/>
      <c r="C341" s="45"/>
      <c r="D341" s="45"/>
      <c r="E341" s="45"/>
      <c r="F341" s="45"/>
      <c r="G341" s="45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5"/>
      <c r="B343" s="45"/>
      <c r="C343" s="45"/>
      <c r="D343" s="45"/>
      <c r="E343" s="45"/>
      <c r="F343" s="45"/>
      <c r="G343" s="45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5"/>
      <c r="B345" s="45"/>
      <c r="C345" s="45"/>
      <c r="D345" s="45"/>
      <c r="E345" s="45"/>
      <c r="F345" s="45"/>
      <c r="G345" s="45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5"/>
      <c r="B347" s="45"/>
      <c r="C347" s="45"/>
      <c r="D347" s="45"/>
      <c r="E347" s="45"/>
      <c r="F347" s="45"/>
      <c r="G347" s="45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5"/>
      <c r="B349" s="45"/>
      <c r="C349" s="45"/>
      <c r="D349" s="45"/>
      <c r="E349" s="45"/>
      <c r="F349" s="45"/>
      <c r="G349" s="45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5"/>
      <c r="B351" s="45"/>
      <c r="C351" s="45"/>
      <c r="D351" s="45"/>
      <c r="E351" s="45"/>
      <c r="F351" s="45"/>
      <c r="G351" s="45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5"/>
      <c r="B353" s="45"/>
      <c r="C353" s="45"/>
      <c r="D353" s="45"/>
      <c r="E353" s="45"/>
      <c r="F353" s="45"/>
      <c r="G353" s="45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5"/>
      <c r="B355" s="45"/>
      <c r="C355" s="45"/>
      <c r="D355" s="45"/>
      <c r="E355" s="45"/>
      <c r="F355" s="45"/>
      <c r="G355" s="45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5"/>
      <c r="B357" s="45"/>
      <c r="C357" s="45"/>
      <c r="D357" s="45"/>
      <c r="E357" s="45"/>
      <c r="F357" s="45"/>
      <c r="G357" s="45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5"/>
      <c r="B359" s="45"/>
      <c r="C359" s="45"/>
      <c r="D359" s="45"/>
      <c r="E359" s="45"/>
      <c r="F359" s="45"/>
      <c r="G359" s="45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5"/>
      <c r="B361" s="45"/>
      <c r="C361" s="45"/>
      <c r="D361" s="45"/>
      <c r="E361" s="45"/>
      <c r="F361" s="45"/>
      <c r="G361" s="45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5"/>
      <c r="B363" s="45"/>
      <c r="C363" s="45"/>
      <c r="D363" s="45"/>
      <c r="E363" s="45"/>
      <c r="F363" s="45"/>
      <c r="G363" s="45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5"/>
      <c r="B365" s="45"/>
      <c r="C365" s="45"/>
      <c r="D365" s="45"/>
      <c r="E365" s="45"/>
      <c r="F365" s="45"/>
      <c r="G365" s="45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5"/>
      <c r="B367" s="45"/>
      <c r="C367" s="45"/>
      <c r="D367" s="45"/>
      <c r="E367" s="45"/>
      <c r="F367" s="45"/>
      <c r="G367" s="45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5"/>
      <c r="B369" s="45"/>
      <c r="C369" s="45"/>
      <c r="D369" s="45"/>
      <c r="E369" s="45"/>
      <c r="F369" s="45"/>
      <c r="G369" s="45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5"/>
      <c r="B371" s="45"/>
      <c r="C371" s="45"/>
      <c r="D371" s="45"/>
      <c r="E371" s="45"/>
      <c r="F371" s="45"/>
      <c r="G371" s="45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5"/>
      <c r="B373" s="45"/>
      <c r="C373" s="45"/>
      <c r="D373" s="45"/>
      <c r="E373" s="45"/>
      <c r="F373" s="45"/>
      <c r="G373" s="45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5"/>
      <c r="B375" s="45"/>
      <c r="C375" s="45"/>
      <c r="D375" s="45"/>
      <c r="E375" s="45"/>
      <c r="F375" s="45"/>
      <c r="G375" s="45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5"/>
      <c r="B377" s="45"/>
      <c r="C377" s="45"/>
      <c r="D377" s="45"/>
      <c r="E377" s="45"/>
      <c r="F377" s="45"/>
      <c r="G377" s="45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5"/>
      <c r="B379" s="45"/>
      <c r="C379" s="45"/>
      <c r="D379" s="45"/>
      <c r="E379" s="45"/>
      <c r="F379" s="45"/>
      <c r="G379" s="45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5"/>
      <c r="B381" s="45"/>
      <c r="C381" s="45"/>
      <c r="D381" s="45"/>
      <c r="E381" s="45"/>
      <c r="F381" s="45"/>
      <c r="G381" s="45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5"/>
      <c r="B383" s="45"/>
      <c r="C383" s="45"/>
      <c r="D383" s="45"/>
      <c r="E383" s="45"/>
      <c r="F383" s="45"/>
      <c r="G383" s="45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5"/>
      <c r="B385" s="45"/>
      <c r="C385" s="45"/>
      <c r="D385" s="45"/>
      <c r="E385" s="45"/>
      <c r="F385" s="45"/>
      <c r="G385" s="45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5"/>
      <c r="B387" s="45"/>
      <c r="C387" s="45"/>
      <c r="D387" s="45"/>
      <c r="E387" s="45"/>
      <c r="F387" s="45"/>
      <c r="G387" s="45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5"/>
      <c r="B389" s="45"/>
      <c r="C389" s="45"/>
      <c r="D389" s="45"/>
      <c r="E389" s="45"/>
      <c r="F389" s="45"/>
      <c r="G389" s="45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5"/>
      <c r="B391" s="45"/>
      <c r="C391" s="45"/>
      <c r="D391" s="45"/>
      <c r="E391" s="45"/>
      <c r="F391" s="45"/>
      <c r="G391" s="45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5"/>
      <c r="B393" s="45"/>
      <c r="C393" s="45"/>
      <c r="D393" s="45"/>
      <c r="E393" s="45"/>
      <c r="F393" s="45"/>
      <c r="G393" s="45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5"/>
      <c r="B395" s="45"/>
      <c r="C395" s="45"/>
      <c r="D395" s="45"/>
      <c r="E395" s="45"/>
      <c r="F395" s="45"/>
      <c r="G395" s="45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5"/>
      <c r="B397" s="45"/>
      <c r="C397" s="45"/>
      <c r="D397" s="45"/>
      <c r="E397" s="45"/>
      <c r="F397" s="45"/>
      <c r="G397" s="45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5"/>
      <c r="B399" s="45"/>
      <c r="C399" s="45"/>
      <c r="D399" s="45"/>
      <c r="E399" s="45"/>
      <c r="F399" s="45"/>
      <c r="G399" s="45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5"/>
      <c r="B401" s="45"/>
      <c r="C401" s="45"/>
      <c r="D401" s="45"/>
      <c r="E401" s="45"/>
      <c r="F401" s="45"/>
      <c r="G401" s="45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5"/>
      <c r="B403" s="45"/>
      <c r="C403" s="45"/>
      <c r="D403" s="45"/>
      <c r="E403" s="45"/>
      <c r="F403" s="45"/>
      <c r="G403" s="45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5"/>
      <c r="B405" s="45"/>
      <c r="C405" s="45"/>
      <c r="D405" s="45"/>
      <c r="E405" s="45"/>
      <c r="F405" s="45"/>
      <c r="G405" s="45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5"/>
      <c r="B407" s="45"/>
      <c r="C407" s="45"/>
      <c r="D407" s="45"/>
      <c r="E407" s="45"/>
      <c r="F407" s="45"/>
      <c r="G407" s="45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5"/>
      <c r="B409" s="45"/>
      <c r="C409" s="45"/>
      <c r="D409" s="45"/>
      <c r="E409" s="45"/>
      <c r="F409" s="45"/>
      <c r="G409" s="45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5"/>
      <c r="B411" s="45"/>
      <c r="C411" s="45"/>
      <c r="D411" s="45"/>
      <c r="E411" s="45"/>
      <c r="F411" s="45"/>
      <c r="G411" s="45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5"/>
      <c r="B413" s="45"/>
      <c r="C413" s="45"/>
      <c r="D413" s="45"/>
      <c r="E413" s="45"/>
      <c r="F413" s="45"/>
      <c r="G413" s="45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5"/>
      <c r="B415" s="45"/>
      <c r="C415" s="45"/>
      <c r="D415" s="45"/>
      <c r="E415" s="45"/>
      <c r="F415" s="45"/>
      <c r="G415" s="45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5"/>
      <c r="B417" s="45"/>
      <c r="C417" s="45"/>
      <c r="D417" s="45"/>
      <c r="E417" s="45"/>
      <c r="F417" s="45"/>
      <c r="G417" s="45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5"/>
      <c r="B419" s="45"/>
      <c r="C419" s="45"/>
      <c r="D419" s="45"/>
      <c r="E419" s="45"/>
      <c r="F419" s="45"/>
      <c r="G419" s="45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5"/>
      <c r="B421" s="45"/>
      <c r="C421" s="45"/>
      <c r="D421" s="45"/>
      <c r="E421" s="45"/>
      <c r="F421" s="45"/>
      <c r="G421" s="45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5"/>
      <c r="B423" s="45"/>
      <c r="C423" s="45"/>
      <c r="D423" s="45"/>
      <c r="E423" s="45"/>
      <c r="F423" s="45"/>
      <c r="G423" s="45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5"/>
      <c r="B425" s="45"/>
      <c r="C425" s="45"/>
      <c r="D425" s="45"/>
      <c r="E425" s="45"/>
      <c r="F425" s="45"/>
      <c r="G425" s="45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5"/>
      <c r="B427" s="45"/>
      <c r="C427" s="45"/>
      <c r="D427" s="45"/>
      <c r="E427" s="45"/>
      <c r="F427" s="45"/>
      <c r="G427" s="45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5"/>
      <c r="B429" s="45"/>
      <c r="C429" s="45"/>
      <c r="D429" s="45"/>
      <c r="E429" s="45"/>
      <c r="F429" s="45"/>
      <c r="G429" s="45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5"/>
      <c r="B431" s="45"/>
      <c r="C431" s="45"/>
      <c r="D431" s="45"/>
      <c r="E431" s="45"/>
      <c r="F431" s="45"/>
      <c r="G431" s="45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5"/>
      <c r="B433" s="45"/>
      <c r="C433" s="45"/>
      <c r="D433" s="45"/>
      <c r="E433" s="45"/>
      <c r="F433" s="45"/>
      <c r="G433" s="45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5"/>
      <c r="B435" s="45"/>
      <c r="C435" s="45"/>
      <c r="D435" s="45"/>
      <c r="E435" s="45"/>
      <c r="F435" s="45"/>
      <c r="G435" s="45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5"/>
      <c r="B437" s="45"/>
      <c r="C437" s="45"/>
      <c r="D437" s="45"/>
      <c r="E437" s="45"/>
      <c r="F437" s="45"/>
      <c r="G437" s="45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5"/>
      <c r="B439" s="45"/>
      <c r="C439" s="45"/>
      <c r="D439" s="45"/>
      <c r="E439" s="45"/>
      <c r="F439" s="45"/>
      <c r="G439" s="45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5"/>
      <c r="B441" s="45"/>
      <c r="C441" s="45"/>
      <c r="D441" s="45"/>
      <c r="E441" s="45"/>
      <c r="F441" s="45"/>
      <c r="G441" s="45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5"/>
      <c r="B443" s="45"/>
      <c r="C443" s="45"/>
      <c r="D443" s="45"/>
      <c r="E443" s="45"/>
      <c r="F443" s="45"/>
      <c r="G443" s="45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5"/>
      <c r="B445" s="45"/>
      <c r="C445" s="45"/>
      <c r="D445" s="45"/>
      <c r="E445" s="45"/>
      <c r="F445" s="45"/>
      <c r="G445" s="45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5"/>
      <c r="B447" s="45"/>
      <c r="C447" s="45"/>
      <c r="D447" s="45"/>
      <c r="E447" s="45"/>
      <c r="F447" s="45"/>
      <c r="G447" s="45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5"/>
      <c r="B449" s="45"/>
      <c r="C449" s="45"/>
      <c r="D449" s="45"/>
      <c r="E449" s="45"/>
      <c r="F449" s="45"/>
      <c r="G449" s="45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5"/>
      <c r="B451" s="45"/>
      <c r="C451" s="45"/>
      <c r="D451" s="45"/>
      <c r="E451" s="45"/>
      <c r="F451" s="45"/>
      <c r="G451" s="45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5"/>
      <c r="B453" s="45"/>
      <c r="C453" s="45"/>
      <c r="D453" s="45"/>
      <c r="E453" s="45"/>
      <c r="F453" s="45"/>
      <c r="G453" s="45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5"/>
      <c r="B455" s="45"/>
      <c r="C455" s="45"/>
      <c r="D455" s="45"/>
      <c r="E455" s="45"/>
      <c r="F455" s="45"/>
      <c r="G455" s="45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5"/>
      <c r="B457" s="45"/>
      <c r="C457" s="45"/>
      <c r="D457" s="45"/>
      <c r="E457" s="45"/>
      <c r="F457" s="45"/>
      <c r="G457" s="45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5"/>
      <c r="B459" s="45"/>
      <c r="C459" s="45"/>
      <c r="D459" s="45"/>
      <c r="E459" s="45"/>
      <c r="F459" s="45"/>
      <c r="G459" s="45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5"/>
      <c r="B461" s="45"/>
      <c r="C461" s="45"/>
      <c r="D461" s="45"/>
      <c r="E461" s="45"/>
      <c r="F461" s="45"/>
      <c r="G461" s="45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5"/>
      <c r="B463" s="45"/>
      <c r="C463" s="45"/>
      <c r="D463" s="45"/>
      <c r="E463" s="45"/>
      <c r="F463" s="45"/>
      <c r="G463" s="45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5"/>
      <c r="B465" s="45"/>
      <c r="C465" s="45"/>
      <c r="D465" s="45"/>
      <c r="E465" s="45"/>
      <c r="F465" s="45"/>
      <c r="G465" s="45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5"/>
      <c r="B467" s="45"/>
      <c r="C467" s="45"/>
      <c r="D467" s="45"/>
      <c r="E467" s="45"/>
      <c r="F467" s="45"/>
      <c r="G467" s="45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5"/>
      <c r="B469" s="45"/>
      <c r="C469" s="45"/>
      <c r="D469" s="45"/>
      <c r="E469" s="45"/>
      <c r="F469" s="45"/>
      <c r="G469" s="45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5"/>
      <c r="B471" s="45"/>
      <c r="C471" s="45"/>
      <c r="D471" s="45"/>
      <c r="E471" s="45"/>
      <c r="F471" s="45"/>
      <c r="G471" s="45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5"/>
      <c r="B473" s="45"/>
      <c r="C473" s="45"/>
      <c r="D473" s="45"/>
      <c r="E473" s="45"/>
      <c r="F473" s="45"/>
      <c r="G473" s="45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5"/>
      <c r="B475" s="45"/>
      <c r="C475" s="45"/>
      <c r="D475" s="45"/>
      <c r="E475" s="45"/>
      <c r="F475" s="45"/>
      <c r="G475" s="45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5"/>
      <c r="B477" s="45"/>
      <c r="C477" s="45"/>
      <c r="D477" s="45"/>
      <c r="E477" s="45"/>
      <c r="F477" s="45"/>
      <c r="G477" s="45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5"/>
      <c r="B479" s="45"/>
      <c r="C479" s="45"/>
      <c r="D479" s="45"/>
      <c r="E479" s="45"/>
      <c r="F479" s="45"/>
      <c r="G479" s="45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5"/>
      <c r="B481" s="45"/>
      <c r="C481" s="45"/>
      <c r="D481" s="45"/>
      <c r="E481" s="45"/>
      <c r="F481" s="45"/>
      <c r="G481" s="45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5"/>
      <c r="B483" s="45"/>
      <c r="C483" s="45"/>
      <c r="D483" s="45"/>
      <c r="E483" s="45"/>
      <c r="F483" s="45"/>
      <c r="G483" s="45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5"/>
      <c r="B485" s="45"/>
      <c r="C485" s="45"/>
      <c r="D485" s="45"/>
      <c r="E485" s="45"/>
      <c r="F485" s="45"/>
      <c r="G485" s="45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5"/>
      <c r="B487" s="45"/>
      <c r="C487" s="45"/>
      <c r="D487" s="45"/>
      <c r="E487" s="45"/>
      <c r="F487" s="45"/>
      <c r="G487" s="45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5"/>
      <c r="B489" s="45"/>
      <c r="C489" s="45"/>
      <c r="D489" s="45"/>
      <c r="E489" s="45"/>
      <c r="F489" s="45"/>
      <c r="G489" s="45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5"/>
      <c r="B491" s="45"/>
      <c r="C491" s="45"/>
      <c r="D491" s="45"/>
      <c r="E491" s="45"/>
      <c r="F491" s="45"/>
      <c r="G491" s="45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5"/>
      <c r="B493" s="45"/>
      <c r="C493" s="45"/>
      <c r="D493" s="45"/>
      <c r="E493" s="45"/>
      <c r="F493" s="45"/>
      <c r="G493" s="45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5"/>
      <c r="B495" s="45"/>
      <c r="C495" s="45"/>
      <c r="D495" s="45"/>
      <c r="E495" s="45"/>
      <c r="F495" s="45"/>
      <c r="G495" s="45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5"/>
      <c r="B497" s="45"/>
      <c r="C497" s="45"/>
      <c r="D497" s="45"/>
      <c r="E497" s="45"/>
      <c r="F497" s="45"/>
      <c r="G497" s="45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5"/>
      <c r="B499" s="45"/>
      <c r="C499" s="45"/>
      <c r="D499" s="45"/>
      <c r="E499" s="45"/>
      <c r="F499" s="45"/>
      <c r="G499" s="45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5"/>
      <c r="B501" s="45"/>
      <c r="C501" s="45"/>
      <c r="D501" s="45"/>
      <c r="E501" s="45"/>
      <c r="F501" s="45"/>
      <c r="G501" s="45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5"/>
      <c r="B503" s="45"/>
      <c r="C503" s="45"/>
      <c r="D503" s="45"/>
      <c r="E503" s="45"/>
      <c r="F503" s="45"/>
      <c r="G503" s="45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5"/>
      <c r="B505" s="45"/>
      <c r="C505" s="45"/>
      <c r="D505" s="45"/>
      <c r="E505" s="45"/>
      <c r="F505" s="45"/>
      <c r="G505" s="45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5"/>
      <c r="B507" s="45"/>
      <c r="C507" s="45"/>
      <c r="D507" s="45"/>
      <c r="E507" s="45"/>
      <c r="F507" s="45"/>
      <c r="G507" s="45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5"/>
      <c r="B509" s="45"/>
      <c r="C509" s="45"/>
      <c r="D509" s="45"/>
      <c r="E509" s="45"/>
      <c r="F509" s="45"/>
      <c r="G509" s="45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5"/>
      <c r="B511" s="45"/>
      <c r="C511" s="45"/>
      <c r="D511" s="45"/>
      <c r="E511" s="45"/>
      <c r="F511" s="45"/>
      <c r="G511" s="45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5"/>
      <c r="B513" s="45"/>
      <c r="C513" s="45"/>
      <c r="D513" s="45"/>
      <c r="E513" s="45"/>
      <c r="F513" s="45"/>
      <c r="G513" s="45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5"/>
      <c r="B515" s="45"/>
      <c r="C515" s="45"/>
      <c r="D515" s="45"/>
      <c r="E515" s="45"/>
      <c r="F515" s="45"/>
      <c r="G515" s="45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5"/>
      <c r="B517" s="45"/>
      <c r="C517" s="45"/>
      <c r="D517" s="45"/>
      <c r="E517" s="45"/>
      <c r="F517" s="45"/>
      <c r="G517" s="45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5"/>
      <c r="B519" s="45"/>
      <c r="C519" s="45"/>
      <c r="D519" s="45"/>
      <c r="E519" s="45"/>
      <c r="F519" s="45"/>
      <c r="G519" s="45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5"/>
      <c r="B521" s="45"/>
      <c r="C521" s="45"/>
      <c r="D521" s="45"/>
      <c r="E521" s="45"/>
      <c r="F521" s="45"/>
      <c r="G521" s="45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5"/>
      <c r="B523" s="45"/>
      <c r="C523" s="45"/>
      <c r="D523" s="45"/>
      <c r="E523" s="45"/>
      <c r="F523" s="45"/>
      <c r="G523" s="45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5"/>
      <c r="B525" s="45"/>
      <c r="C525" s="45"/>
      <c r="D525" s="45"/>
      <c r="E525" s="45"/>
      <c r="F525" s="45"/>
      <c r="G525" s="45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5"/>
      <c r="B527" s="45"/>
      <c r="C527" s="45"/>
      <c r="D527" s="45"/>
      <c r="E527" s="45"/>
      <c r="F527" s="45"/>
      <c r="G527" s="45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5"/>
      <c r="B529" s="45"/>
      <c r="C529" s="45"/>
      <c r="D529" s="45"/>
      <c r="E529" s="45"/>
      <c r="F529" s="45"/>
      <c r="G529" s="45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5"/>
      <c r="B531" s="45"/>
      <c r="C531" s="45"/>
      <c r="D531" s="45"/>
      <c r="E531" s="45"/>
      <c r="F531" s="45"/>
      <c r="G531" s="45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5"/>
      <c r="B533" s="45"/>
      <c r="C533" s="45"/>
      <c r="D533" s="45"/>
      <c r="E533" s="45"/>
      <c r="F533" s="45"/>
      <c r="G533" s="45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5"/>
      <c r="B535" s="45"/>
      <c r="C535" s="45"/>
      <c r="D535" s="45"/>
      <c r="E535" s="45"/>
      <c r="F535" s="45"/>
      <c r="G535" s="45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5"/>
      <c r="B537" s="45"/>
      <c r="C537" s="45"/>
      <c r="D537" s="45"/>
      <c r="E537" s="45"/>
      <c r="F537" s="45"/>
      <c r="G537" s="45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5"/>
      <c r="B539" s="45"/>
      <c r="C539" s="45"/>
      <c r="D539" s="45"/>
      <c r="E539" s="45"/>
      <c r="F539" s="45"/>
      <c r="G539" s="45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5"/>
      <c r="B541" s="45"/>
      <c r="C541" s="45"/>
      <c r="D541" s="45"/>
      <c r="E541" s="45"/>
      <c r="F541" s="45"/>
      <c r="G541" s="45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5"/>
      <c r="B543" s="45"/>
      <c r="C543" s="45"/>
      <c r="D543" s="45"/>
      <c r="E543" s="45"/>
      <c r="F543" s="45"/>
      <c r="G543" s="45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5"/>
      <c r="B545" s="45"/>
      <c r="C545" s="45"/>
      <c r="D545" s="45"/>
      <c r="E545" s="45"/>
      <c r="F545" s="45"/>
      <c r="G545" s="45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5"/>
      <c r="B547" s="45"/>
      <c r="C547" s="45"/>
      <c r="D547" s="45"/>
      <c r="E547" s="45"/>
      <c r="F547" s="45"/>
      <c r="G547" s="45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5"/>
      <c r="B549" s="45"/>
      <c r="C549" s="45"/>
      <c r="D549" s="45"/>
      <c r="E549" s="45"/>
      <c r="F549" s="45"/>
      <c r="G549" s="45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5"/>
      <c r="B551" s="45"/>
      <c r="C551" s="45"/>
      <c r="D551" s="45"/>
      <c r="E551" s="45"/>
      <c r="F551" s="45"/>
      <c r="G551" s="45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5"/>
      <c r="B553" s="45"/>
      <c r="C553" s="45"/>
      <c r="D553" s="45"/>
      <c r="E553" s="45"/>
      <c r="F553" s="45"/>
      <c r="G553" s="45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5"/>
      <c r="B555" s="45"/>
      <c r="C555" s="45"/>
      <c r="D555" s="45"/>
      <c r="E555" s="45"/>
      <c r="F555" s="45"/>
      <c r="G555" s="45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5"/>
      <c r="B557" s="45"/>
      <c r="C557" s="45"/>
      <c r="D557" s="45"/>
      <c r="E557" s="45"/>
      <c r="F557" s="45"/>
      <c r="G557" s="45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5"/>
      <c r="B559" s="45"/>
      <c r="C559" s="45"/>
      <c r="D559" s="45"/>
      <c r="E559" s="45"/>
      <c r="F559" s="45"/>
      <c r="G559" s="45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53085-F013-AD4C-8728-E8F99F292DCF}">
  <dimension ref="A1:L1008"/>
  <sheetViews>
    <sheetView workbookViewId="0">
      <selection activeCell="O39" sqref="O39"/>
    </sheetView>
  </sheetViews>
  <sheetFormatPr baseColWidth="10" defaultRowHeight="15" x14ac:dyDescent="0.2"/>
  <cols>
    <col min="1" max="1" width="11.83203125" style="42" bestFit="1" customWidth="1"/>
    <col min="2" max="16384" width="10.83203125" style="42"/>
  </cols>
  <sheetData>
    <row r="1" spans="1:12" x14ac:dyDescent="0.2">
      <c r="A1" s="41" t="s">
        <v>179</v>
      </c>
      <c r="B1" s="41" t="s">
        <v>85</v>
      </c>
      <c r="G1" s="43" t="s">
        <v>185</v>
      </c>
    </row>
    <row r="3" spans="1:12" x14ac:dyDescent="0.2">
      <c r="A3" s="43" t="s">
        <v>180</v>
      </c>
    </row>
    <row r="4" spans="1:12" x14ac:dyDescent="0.2">
      <c r="A4" s="44" t="s">
        <v>86</v>
      </c>
      <c r="B4" s="44" t="s">
        <v>187</v>
      </c>
      <c r="C4" s="44" t="s">
        <v>188</v>
      </c>
      <c r="D4" s="44" t="s">
        <v>189</v>
      </c>
      <c r="E4" s="44"/>
      <c r="F4" s="44"/>
      <c r="G4" s="44"/>
      <c r="H4" s="44"/>
      <c r="I4" s="44"/>
      <c r="J4" s="44"/>
      <c r="K4" s="44"/>
      <c r="L4" s="44"/>
    </row>
    <row r="5" spans="1:12" x14ac:dyDescent="0.2">
      <c r="A5" s="43" t="s">
        <v>181</v>
      </c>
    </row>
    <row r="6" spans="1:12" x14ac:dyDescent="0.2">
      <c r="A6" s="46" t="s">
        <v>182</v>
      </c>
      <c r="B6" s="45" t="s">
        <v>184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">
      <c r="A8" s="41" t="s">
        <v>86</v>
      </c>
      <c r="B8" s="41" t="s">
        <v>187</v>
      </c>
      <c r="C8" s="41" t="s">
        <v>188</v>
      </c>
      <c r="D8" s="41" t="s">
        <v>189</v>
      </c>
      <c r="E8" s="41" t="s">
        <v>85</v>
      </c>
      <c r="F8" s="41" t="s">
        <v>182</v>
      </c>
      <c r="G8" s="41" t="s">
        <v>184</v>
      </c>
      <c r="J8" s="43" t="s">
        <v>186</v>
      </c>
    </row>
    <row r="9" spans="1:12" x14ac:dyDescent="0.2">
      <c r="A9" s="45">
        <v>2010</v>
      </c>
      <c r="B9" s="45" t="s">
        <v>190</v>
      </c>
      <c r="C9" s="45" t="s">
        <v>43</v>
      </c>
      <c r="D9" s="45" t="s">
        <v>198</v>
      </c>
      <c r="E9" s="45">
        <v>993503</v>
      </c>
      <c r="F9" s="45"/>
      <c r="G9" s="45">
        <v>1993.4924128272974</v>
      </c>
    </row>
    <row r="10" spans="1:12" x14ac:dyDescent="0.2">
      <c r="A10" s="44">
        <v>2010</v>
      </c>
      <c r="B10" s="44" t="s">
        <v>190</v>
      </c>
      <c r="C10" s="44" t="s">
        <v>43</v>
      </c>
      <c r="D10" s="44" t="s">
        <v>199</v>
      </c>
      <c r="E10" s="44">
        <v>849884</v>
      </c>
      <c r="F10" s="44"/>
      <c r="G10" s="44">
        <v>1843.7830675000787</v>
      </c>
    </row>
    <row r="11" spans="1:12" x14ac:dyDescent="0.2">
      <c r="A11" s="45">
        <v>2010</v>
      </c>
      <c r="B11" s="45" t="s">
        <v>190</v>
      </c>
      <c r="C11" s="45" t="s">
        <v>43</v>
      </c>
      <c r="D11" s="45" t="s">
        <v>200</v>
      </c>
      <c r="E11" s="45">
        <v>795446</v>
      </c>
      <c r="F11" s="45"/>
      <c r="G11" s="45">
        <v>1783.7555886387574</v>
      </c>
    </row>
    <row r="12" spans="1:12" x14ac:dyDescent="0.2">
      <c r="A12" s="44">
        <v>2010</v>
      </c>
      <c r="B12" s="44" t="s">
        <v>190</v>
      </c>
      <c r="C12" s="44" t="s">
        <v>43</v>
      </c>
      <c r="D12" s="44" t="s">
        <v>191</v>
      </c>
      <c r="E12" s="44">
        <v>766954</v>
      </c>
      <c r="F12" s="44"/>
      <c r="G12" s="44">
        <v>1751.5181985922954</v>
      </c>
    </row>
    <row r="13" spans="1:12" x14ac:dyDescent="0.2">
      <c r="A13" s="45">
        <v>2010</v>
      </c>
      <c r="B13" s="45" t="s">
        <v>190</v>
      </c>
      <c r="C13" s="45" t="s">
        <v>43</v>
      </c>
      <c r="D13" s="45" t="s">
        <v>192</v>
      </c>
      <c r="E13" s="45">
        <v>730145</v>
      </c>
      <c r="F13" s="45"/>
      <c r="G13" s="45">
        <v>1708.9704503004141</v>
      </c>
    </row>
    <row r="14" spans="1:12" x14ac:dyDescent="0.2">
      <c r="A14" s="44">
        <v>2010</v>
      </c>
      <c r="B14" s="44" t="s">
        <v>190</v>
      </c>
      <c r="C14" s="44" t="s">
        <v>43</v>
      </c>
      <c r="D14" s="44" t="s">
        <v>193</v>
      </c>
      <c r="E14" s="44">
        <v>596614</v>
      </c>
      <c r="F14" s="44"/>
      <c r="G14" s="44">
        <v>1544.8158466302707</v>
      </c>
    </row>
    <row r="15" spans="1:12" x14ac:dyDescent="0.2">
      <c r="A15" s="45">
        <v>2010</v>
      </c>
      <c r="B15" s="45" t="s">
        <v>190</v>
      </c>
      <c r="C15" s="45" t="s">
        <v>43</v>
      </c>
      <c r="D15" s="45" t="s">
        <v>194</v>
      </c>
      <c r="E15" s="45">
        <v>471291</v>
      </c>
      <c r="F15" s="45"/>
      <c r="G15" s="45">
        <v>1373.01274575293</v>
      </c>
    </row>
    <row r="16" spans="1:12" x14ac:dyDescent="0.2">
      <c r="A16" s="44">
        <v>2010</v>
      </c>
      <c r="B16" s="44" t="s">
        <v>190</v>
      </c>
      <c r="C16" s="44" t="s">
        <v>43</v>
      </c>
      <c r="D16" s="44" t="s">
        <v>195</v>
      </c>
      <c r="E16" s="44">
        <v>333524</v>
      </c>
      <c r="F16" s="44"/>
      <c r="G16" s="44">
        <v>1155.0307355217869</v>
      </c>
    </row>
    <row r="17" spans="1:7" x14ac:dyDescent="0.2">
      <c r="A17" s="45">
        <v>2010</v>
      </c>
      <c r="B17" s="45" t="s">
        <v>190</v>
      </c>
      <c r="C17" s="45" t="s">
        <v>43</v>
      </c>
      <c r="D17" s="45" t="s">
        <v>196</v>
      </c>
      <c r="E17" s="45">
        <v>245985</v>
      </c>
      <c r="F17" s="45"/>
      <c r="G17" s="45">
        <v>991.9374980309999</v>
      </c>
    </row>
    <row r="18" spans="1:7" x14ac:dyDescent="0.2">
      <c r="A18" s="44">
        <v>2010</v>
      </c>
      <c r="B18" s="44" t="s">
        <v>190</v>
      </c>
      <c r="C18" s="44" t="s">
        <v>43</v>
      </c>
      <c r="D18" s="44" t="s">
        <v>197</v>
      </c>
      <c r="E18" s="44">
        <v>200252</v>
      </c>
      <c r="F18" s="44"/>
      <c r="G18" s="44">
        <v>894.99050274290619</v>
      </c>
    </row>
    <row r="19" spans="1:7" x14ac:dyDescent="0.2">
      <c r="A19" s="45">
        <v>2010</v>
      </c>
      <c r="B19" s="45" t="s">
        <v>190</v>
      </c>
      <c r="C19" s="45" t="s">
        <v>43</v>
      </c>
      <c r="D19" s="45" t="s">
        <v>201</v>
      </c>
      <c r="E19" s="45">
        <v>167229</v>
      </c>
      <c r="F19" s="45"/>
      <c r="G19" s="45">
        <v>817.87285075370971</v>
      </c>
    </row>
    <row r="20" spans="1:7" x14ac:dyDescent="0.2">
      <c r="A20" s="44">
        <v>2010</v>
      </c>
      <c r="B20" s="44" t="s">
        <v>190</v>
      </c>
      <c r="C20" s="44" t="s">
        <v>43</v>
      </c>
      <c r="D20" s="44" t="s">
        <v>202</v>
      </c>
      <c r="E20" s="44">
        <v>142147</v>
      </c>
      <c r="F20" s="44"/>
      <c r="G20" s="44">
        <v>754.04774384650204</v>
      </c>
    </row>
    <row r="21" spans="1:7" x14ac:dyDescent="0.2">
      <c r="A21" s="45">
        <v>2010</v>
      </c>
      <c r="B21" s="45" t="s">
        <v>190</v>
      </c>
      <c r="C21" s="45" t="s">
        <v>43</v>
      </c>
      <c r="D21" s="45" t="s">
        <v>203</v>
      </c>
      <c r="E21" s="45">
        <v>100376</v>
      </c>
      <c r="F21" s="45"/>
      <c r="G21" s="45">
        <v>633.64343285478787</v>
      </c>
    </row>
    <row r="22" spans="1:7" x14ac:dyDescent="0.2">
      <c r="A22" s="44">
        <v>2010</v>
      </c>
      <c r="B22" s="44" t="s">
        <v>190</v>
      </c>
      <c r="C22" s="44" t="s">
        <v>43</v>
      </c>
      <c r="D22" s="44" t="s">
        <v>205</v>
      </c>
      <c r="E22" s="44">
        <v>94053</v>
      </c>
      <c r="F22" s="44"/>
      <c r="G22" s="44">
        <v>613.36123124957942</v>
      </c>
    </row>
    <row r="23" spans="1:7" x14ac:dyDescent="0.2">
      <c r="A23" s="45">
        <v>2010</v>
      </c>
      <c r="B23" s="45" t="s">
        <v>190</v>
      </c>
      <c r="C23" s="45" t="s">
        <v>43</v>
      </c>
      <c r="D23" s="45" t="s">
        <v>206</v>
      </c>
      <c r="E23" s="45">
        <v>70357</v>
      </c>
      <c r="F23" s="45"/>
      <c r="G23" s="45">
        <v>530.49787935485665</v>
      </c>
    </row>
    <row r="24" spans="1:7" x14ac:dyDescent="0.2">
      <c r="A24" s="44">
        <v>2010</v>
      </c>
      <c r="B24" s="44" t="s">
        <v>190</v>
      </c>
      <c r="C24" s="44" t="s">
        <v>43</v>
      </c>
      <c r="D24" s="44" t="s">
        <v>207</v>
      </c>
      <c r="E24" s="44">
        <v>48407</v>
      </c>
      <c r="F24" s="44"/>
      <c r="G24" s="44">
        <v>440.0318170314506</v>
      </c>
    </row>
    <row r="25" spans="1:7" x14ac:dyDescent="0.2">
      <c r="A25" s="45">
        <v>2010</v>
      </c>
      <c r="B25" s="45" t="s">
        <v>190</v>
      </c>
      <c r="C25" s="45" t="s">
        <v>43</v>
      </c>
      <c r="D25" s="45" t="s">
        <v>208</v>
      </c>
      <c r="E25" s="45">
        <v>28377</v>
      </c>
      <c r="F25" s="45"/>
      <c r="G25" s="45">
        <v>336.90948339279498</v>
      </c>
    </row>
    <row r="26" spans="1:7" x14ac:dyDescent="0.2">
      <c r="A26" s="44">
        <v>2010</v>
      </c>
      <c r="B26" s="44" t="s">
        <v>190</v>
      </c>
      <c r="C26" s="44" t="s">
        <v>43</v>
      </c>
      <c r="D26" s="44" t="s">
        <v>209</v>
      </c>
      <c r="E26" s="44">
        <v>10891</v>
      </c>
      <c r="F26" s="44"/>
      <c r="G26" s="44">
        <v>208.7199080107118</v>
      </c>
    </row>
    <row r="27" spans="1:7" x14ac:dyDescent="0.2">
      <c r="A27" s="45">
        <v>2010</v>
      </c>
      <c r="B27" s="45" t="s">
        <v>190</v>
      </c>
      <c r="C27" s="45" t="s">
        <v>43</v>
      </c>
      <c r="D27" s="45" t="s">
        <v>210</v>
      </c>
      <c r="E27" s="45">
        <v>2858</v>
      </c>
      <c r="F27" s="45"/>
      <c r="G27" s="45">
        <v>106.92053123698928</v>
      </c>
    </row>
    <row r="28" spans="1:7" x14ac:dyDescent="0.2">
      <c r="A28" s="44">
        <v>2010</v>
      </c>
      <c r="B28" s="44" t="s">
        <v>190</v>
      </c>
      <c r="C28" s="44" t="s">
        <v>44</v>
      </c>
      <c r="D28" s="44" t="s">
        <v>198</v>
      </c>
      <c r="E28" s="44">
        <v>1003778</v>
      </c>
      <c r="F28" s="44"/>
      <c r="G28" s="44">
        <v>2003.7744384036841</v>
      </c>
    </row>
    <row r="29" spans="1:7" x14ac:dyDescent="0.2">
      <c r="A29" s="45">
        <v>2010</v>
      </c>
      <c r="B29" s="45" t="s">
        <v>190</v>
      </c>
      <c r="C29" s="45" t="s">
        <v>44</v>
      </c>
      <c r="D29" s="45" t="s">
        <v>199</v>
      </c>
      <c r="E29" s="45">
        <v>849773</v>
      </c>
      <c r="F29" s="45"/>
      <c r="G29" s="45">
        <v>1843.6626589482144</v>
      </c>
    </row>
    <row r="30" spans="1:7" x14ac:dyDescent="0.2">
      <c r="A30" s="44">
        <v>2010</v>
      </c>
      <c r="B30" s="44" t="s">
        <v>190</v>
      </c>
      <c r="C30" s="44" t="s">
        <v>44</v>
      </c>
      <c r="D30" s="44" t="s">
        <v>200</v>
      </c>
      <c r="E30" s="44">
        <v>791114</v>
      </c>
      <c r="F30" s="44"/>
      <c r="G30" s="44">
        <v>1778.8917898511984</v>
      </c>
    </row>
    <row r="31" spans="1:7" x14ac:dyDescent="0.2">
      <c r="A31" s="45">
        <v>2010</v>
      </c>
      <c r="B31" s="45" t="s">
        <v>190</v>
      </c>
      <c r="C31" s="45" t="s">
        <v>44</v>
      </c>
      <c r="D31" s="45" t="s">
        <v>191</v>
      </c>
      <c r="E31" s="45">
        <v>729897</v>
      </c>
      <c r="F31" s="45"/>
      <c r="G31" s="45">
        <v>1708.6801924292329</v>
      </c>
    </row>
    <row r="32" spans="1:7" x14ac:dyDescent="0.2">
      <c r="A32" s="44">
        <v>2010</v>
      </c>
      <c r="B32" s="44" t="s">
        <v>190</v>
      </c>
      <c r="C32" s="44" t="s">
        <v>44</v>
      </c>
      <c r="D32" s="44" t="s">
        <v>192</v>
      </c>
      <c r="E32" s="44">
        <v>646316</v>
      </c>
      <c r="F32" s="44"/>
      <c r="G32" s="44">
        <v>1607.8756170798786</v>
      </c>
    </row>
    <row r="33" spans="1:7" x14ac:dyDescent="0.2">
      <c r="A33" s="45">
        <v>2010</v>
      </c>
      <c r="B33" s="45" t="s">
        <v>190</v>
      </c>
      <c r="C33" s="45" t="s">
        <v>44</v>
      </c>
      <c r="D33" s="45" t="s">
        <v>193</v>
      </c>
      <c r="E33" s="45">
        <v>511221</v>
      </c>
      <c r="F33" s="45"/>
      <c r="G33" s="45">
        <v>1429.9944055834624</v>
      </c>
    </row>
    <row r="34" spans="1:7" x14ac:dyDescent="0.2">
      <c r="A34" s="44">
        <v>2010</v>
      </c>
      <c r="B34" s="44" t="s">
        <v>190</v>
      </c>
      <c r="C34" s="44" t="s">
        <v>44</v>
      </c>
      <c r="D34" s="44" t="s">
        <v>194</v>
      </c>
      <c r="E34" s="44">
        <v>407730</v>
      </c>
      <c r="F34" s="44"/>
      <c r="G34" s="44">
        <v>1277.0747824618572</v>
      </c>
    </row>
    <row r="35" spans="1:7" x14ac:dyDescent="0.2">
      <c r="A35" s="45">
        <v>2010</v>
      </c>
      <c r="B35" s="45" t="s">
        <v>190</v>
      </c>
      <c r="C35" s="45" t="s">
        <v>44</v>
      </c>
      <c r="D35" s="45" t="s">
        <v>195</v>
      </c>
      <c r="E35" s="45">
        <v>296577</v>
      </c>
      <c r="F35" s="45"/>
      <c r="G35" s="45">
        <v>1089.1776714567739</v>
      </c>
    </row>
    <row r="36" spans="1:7" x14ac:dyDescent="0.2">
      <c r="A36" s="44">
        <v>2010</v>
      </c>
      <c r="B36" s="44" t="s">
        <v>190</v>
      </c>
      <c r="C36" s="44" t="s">
        <v>44</v>
      </c>
      <c r="D36" s="44" t="s">
        <v>196</v>
      </c>
      <c r="E36" s="44">
        <v>220200</v>
      </c>
      <c r="F36" s="44"/>
      <c r="G36" s="44">
        <v>938.50945653200529</v>
      </c>
    </row>
    <row r="37" spans="1:7" x14ac:dyDescent="0.2">
      <c r="A37" s="45">
        <v>2010</v>
      </c>
      <c r="B37" s="45" t="s">
        <v>190</v>
      </c>
      <c r="C37" s="45" t="s">
        <v>44</v>
      </c>
      <c r="D37" s="45" t="s">
        <v>197</v>
      </c>
      <c r="E37" s="45">
        <v>163800</v>
      </c>
      <c r="F37" s="45"/>
      <c r="G37" s="45">
        <v>809.44425379392248</v>
      </c>
    </row>
    <row r="38" spans="1:7" x14ac:dyDescent="0.2">
      <c r="A38" s="44">
        <v>2010</v>
      </c>
      <c r="B38" s="44" t="s">
        <v>190</v>
      </c>
      <c r="C38" s="44" t="s">
        <v>44</v>
      </c>
      <c r="D38" s="44" t="s">
        <v>201</v>
      </c>
      <c r="E38" s="44">
        <v>125947</v>
      </c>
      <c r="F38" s="44"/>
      <c r="G38" s="44">
        <v>709.78024768233729</v>
      </c>
    </row>
    <row r="39" spans="1:7" x14ac:dyDescent="0.2">
      <c r="A39" s="45">
        <v>2010</v>
      </c>
      <c r="B39" s="45" t="s">
        <v>190</v>
      </c>
      <c r="C39" s="45" t="s">
        <v>44</v>
      </c>
      <c r="D39" s="45" t="s">
        <v>202</v>
      </c>
      <c r="E39" s="45">
        <v>99658</v>
      </c>
      <c r="F39" s="45"/>
      <c r="G39" s="45">
        <v>631.37310680769417</v>
      </c>
    </row>
    <row r="40" spans="1:7" x14ac:dyDescent="0.2">
      <c r="A40" s="44">
        <v>2010</v>
      </c>
      <c r="B40" s="44" t="s">
        <v>190</v>
      </c>
      <c r="C40" s="44" t="s">
        <v>44</v>
      </c>
      <c r="D40" s="44" t="s">
        <v>203</v>
      </c>
      <c r="E40" s="44">
        <v>68299</v>
      </c>
      <c r="F40" s="44"/>
      <c r="G40" s="44">
        <v>522.68154740721434</v>
      </c>
    </row>
    <row r="41" spans="1:7" x14ac:dyDescent="0.2">
      <c r="A41" s="45">
        <v>2010</v>
      </c>
      <c r="B41" s="45" t="s">
        <v>190</v>
      </c>
      <c r="C41" s="45" t="s">
        <v>44</v>
      </c>
      <c r="D41" s="45" t="s">
        <v>205</v>
      </c>
      <c r="E41" s="45">
        <v>60276</v>
      </c>
      <c r="F41" s="45"/>
      <c r="G41" s="45">
        <v>491.02342102999529</v>
      </c>
    </row>
    <row r="42" spans="1:7" x14ac:dyDescent="0.2">
      <c r="A42" s="44">
        <v>2010</v>
      </c>
      <c r="B42" s="44" t="s">
        <v>190</v>
      </c>
      <c r="C42" s="44" t="s">
        <v>44</v>
      </c>
      <c r="D42" s="44" t="s">
        <v>206</v>
      </c>
      <c r="E42" s="44">
        <v>39694</v>
      </c>
      <c r="F42" s="44"/>
      <c r="G42" s="44">
        <v>398.46706262876984</v>
      </c>
    </row>
    <row r="43" spans="1:7" x14ac:dyDescent="0.2">
      <c r="A43" s="45">
        <v>2010</v>
      </c>
      <c r="B43" s="45" t="s">
        <v>190</v>
      </c>
      <c r="C43" s="45" t="s">
        <v>44</v>
      </c>
      <c r="D43" s="45" t="s">
        <v>207</v>
      </c>
      <c r="E43" s="45">
        <v>21954</v>
      </c>
      <c r="F43" s="45"/>
      <c r="G43" s="45">
        <v>296.33764526296687</v>
      </c>
    </row>
    <row r="44" spans="1:7" x14ac:dyDescent="0.2">
      <c r="A44" s="44">
        <v>2010</v>
      </c>
      <c r="B44" s="44" t="s">
        <v>190</v>
      </c>
      <c r="C44" s="44" t="s">
        <v>44</v>
      </c>
      <c r="D44" s="44" t="s">
        <v>208</v>
      </c>
      <c r="E44" s="44">
        <v>9792</v>
      </c>
      <c r="F44" s="44"/>
      <c r="G44" s="44">
        <v>197.90907002964769</v>
      </c>
    </row>
    <row r="45" spans="1:7" x14ac:dyDescent="0.2">
      <c r="A45" s="45">
        <v>2010</v>
      </c>
      <c r="B45" s="45" t="s">
        <v>190</v>
      </c>
      <c r="C45" s="45" t="s">
        <v>44</v>
      </c>
      <c r="D45" s="45" t="s">
        <v>209</v>
      </c>
      <c r="E45" s="45">
        <v>2574</v>
      </c>
      <c r="F45" s="45"/>
      <c r="G45" s="45">
        <v>101.46920715172658</v>
      </c>
    </row>
    <row r="46" spans="1:7" x14ac:dyDescent="0.2">
      <c r="A46" s="44"/>
      <c r="B46" s="44"/>
      <c r="C46" s="44"/>
      <c r="D46" s="44"/>
      <c r="E46" s="44"/>
      <c r="F46" s="44"/>
      <c r="G46" s="44"/>
    </row>
    <row r="47" spans="1:7" x14ac:dyDescent="0.2">
      <c r="A47" s="45"/>
      <c r="B47" s="45"/>
      <c r="C47" s="45"/>
      <c r="D47" s="45"/>
      <c r="E47" s="45"/>
      <c r="F47" s="45"/>
      <c r="G47" s="45"/>
    </row>
    <row r="48" spans="1:7" x14ac:dyDescent="0.2">
      <c r="A48" s="44"/>
      <c r="B48" s="44"/>
      <c r="C48" s="44"/>
      <c r="D48" s="44"/>
      <c r="E48" s="44"/>
      <c r="F48" s="44"/>
      <c r="G48" s="44"/>
    </row>
    <row r="49" spans="1:7" x14ac:dyDescent="0.2">
      <c r="A49" s="45"/>
      <c r="B49" s="45"/>
      <c r="C49" s="45"/>
      <c r="D49" s="45"/>
      <c r="E49" s="45"/>
      <c r="F49" s="45"/>
      <c r="G49" s="45"/>
    </row>
    <row r="50" spans="1:7" x14ac:dyDescent="0.2">
      <c r="A50" s="44"/>
      <c r="B50" s="44"/>
      <c r="C50" s="44"/>
      <c r="D50" s="44"/>
      <c r="E50" s="44"/>
      <c r="F50" s="44"/>
      <c r="G50" s="44"/>
    </row>
    <row r="51" spans="1:7" x14ac:dyDescent="0.2">
      <c r="A51" s="45"/>
      <c r="B51" s="45"/>
      <c r="C51" s="45"/>
      <c r="D51" s="45"/>
      <c r="E51" s="45"/>
      <c r="F51" s="45"/>
      <c r="G51" s="45"/>
    </row>
    <row r="52" spans="1:7" x14ac:dyDescent="0.2">
      <c r="A52" s="44"/>
      <c r="B52" s="44"/>
      <c r="C52" s="44"/>
      <c r="D52" s="44"/>
      <c r="E52" s="44"/>
      <c r="F52" s="44"/>
      <c r="G52" s="44"/>
    </row>
    <row r="53" spans="1:7" x14ac:dyDescent="0.2">
      <c r="A53" s="45"/>
      <c r="B53" s="45"/>
      <c r="C53" s="45"/>
      <c r="D53" s="45"/>
      <c r="E53" s="45"/>
      <c r="F53" s="45"/>
      <c r="G53" s="45"/>
    </row>
    <row r="54" spans="1:7" x14ac:dyDescent="0.2">
      <c r="A54" s="44"/>
      <c r="B54" s="44"/>
      <c r="C54" s="44"/>
      <c r="D54" s="44"/>
      <c r="E54" s="44"/>
      <c r="F54" s="44"/>
      <c r="G54" s="44"/>
    </row>
    <row r="55" spans="1:7" x14ac:dyDescent="0.2">
      <c r="A55" s="45"/>
      <c r="B55" s="45"/>
      <c r="C55" s="45"/>
      <c r="D55" s="45"/>
      <c r="E55" s="45"/>
      <c r="F55" s="45"/>
      <c r="G55" s="45"/>
    </row>
    <row r="56" spans="1:7" x14ac:dyDescent="0.2">
      <c r="A56" s="44"/>
      <c r="B56" s="44"/>
      <c r="C56" s="44"/>
      <c r="D56" s="44"/>
      <c r="E56" s="44"/>
      <c r="F56" s="44"/>
      <c r="G56" s="44"/>
    </row>
    <row r="57" spans="1:7" x14ac:dyDescent="0.2">
      <c r="A57" s="45"/>
      <c r="B57" s="45"/>
      <c r="C57" s="45"/>
      <c r="D57" s="45"/>
      <c r="E57" s="45"/>
      <c r="F57" s="45"/>
      <c r="G57" s="45"/>
    </row>
    <row r="58" spans="1:7" x14ac:dyDescent="0.2">
      <c r="A58" s="44"/>
      <c r="B58" s="44"/>
      <c r="C58" s="44"/>
      <c r="D58" s="44"/>
      <c r="E58" s="44"/>
      <c r="F58" s="44"/>
      <c r="G58" s="44"/>
    </row>
    <row r="59" spans="1:7" x14ac:dyDescent="0.2">
      <c r="A59" s="45"/>
      <c r="B59" s="45"/>
      <c r="C59" s="45"/>
      <c r="D59" s="45"/>
      <c r="E59" s="45"/>
      <c r="F59" s="45"/>
      <c r="G59" s="45"/>
    </row>
    <row r="60" spans="1:7" x14ac:dyDescent="0.2">
      <c r="A60" s="44"/>
      <c r="B60" s="44"/>
      <c r="C60" s="44"/>
      <c r="D60" s="44"/>
      <c r="E60" s="44"/>
      <c r="F60" s="44"/>
      <c r="G60" s="44"/>
    </row>
    <row r="61" spans="1:7" x14ac:dyDescent="0.2">
      <c r="A61" s="45"/>
      <c r="B61" s="45"/>
      <c r="C61" s="45"/>
      <c r="D61" s="45"/>
      <c r="E61" s="45"/>
      <c r="F61" s="45"/>
      <c r="G61" s="45"/>
    </row>
    <row r="62" spans="1:7" x14ac:dyDescent="0.2">
      <c r="A62" s="44"/>
      <c r="B62" s="44"/>
      <c r="C62" s="44"/>
      <c r="D62" s="44"/>
      <c r="E62" s="44"/>
      <c r="F62" s="44"/>
      <c r="G62" s="44"/>
    </row>
    <row r="63" spans="1:7" x14ac:dyDescent="0.2">
      <c r="A63" s="45"/>
      <c r="B63" s="45"/>
      <c r="C63" s="45"/>
      <c r="D63" s="45"/>
      <c r="E63" s="45"/>
      <c r="F63" s="45"/>
      <c r="G63" s="45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5"/>
      <c r="B65" s="45"/>
      <c r="C65" s="45"/>
      <c r="D65" s="45"/>
      <c r="E65" s="45"/>
      <c r="F65" s="45"/>
      <c r="G65" s="45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5"/>
      <c r="B67" s="45"/>
      <c r="C67" s="45"/>
      <c r="D67" s="45"/>
      <c r="E67" s="45"/>
      <c r="F67" s="45"/>
      <c r="G67" s="45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5"/>
      <c r="B69" s="45"/>
      <c r="C69" s="45"/>
      <c r="D69" s="45"/>
      <c r="E69" s="45"/>
      <c r="F69" s="45"/>
      <c r="G69" s="45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5"/>
      <c r="B71" s="45"/>
      <c r="C71" s="45"/>
      <c r="D71" s="45"/>
      <c r="E71" s="45"/>
      <c r="F71" s="45"/>
      <c r="G71" s="45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5"/>
      <c r="B73" s="45"/>
      <c r="C73" s="45"/>
      <c r="D73" s="45"/>
      <c r="E73" s="45"/>
      <c r="F73" s="45"/>
      <c r="G73" s="45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5"/>
      <c r="B75" s="45"/>
      <c r="C75" s="45"/>
      <c r="D75" s="45"/>
      <c r="E75" s="45"/>
      <c r="F75" s="45"/>
      <c r="G75" s="45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5"/>
      <c r="B77" s="45"/>
      <c r="C77" s="45"/>
      <c r="D77" s="45"/>
      <c r="E77" s="45"/>
      <c r="F77" s="45"/>
      <c r="G77" s="45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5"/>
      <c r="B79" s="45"/>
      <c r="C79" s="45"/>
      <c r="D79" s="45"/>
      <c r="E79" s="45"/>
      <c r="F79" s="45"/>
      <c r="G79" s="45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5"/>
      <c r="B81" s="45"/>
      <c r="C81" s="45"/>
      <c r="D81" s="45"/>
      <c r="E81" s="45"/>
      <c r="F81" s="45"/>
      <c r="G81" s="45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5"/>
      <c r="B83" s="45"/>
      <c r="C83" s="45"/>
      <c r="D83" s="45"/>
      <c r="E83" s="45"/>
      <c r="F83" s="45"/>
      <c r="G83" s="45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5"/>
      <c r="B85" s="45"/>
      <c r="C85" s="45"/>
      <c r="D85" s="45"/>
      <c r="E85" s="45"/>
      <c r="F85" s="45"/>
      <c r="G85" s="45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5"/>
      <c r="B87" s="45"/>
      <c r="C87" s="45"/>
      <c r="D87" s="45"/>
      <c r="E87" s="45"/>
      <c r="F87" s="45"/>
      <c r="G87" s="45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5"/>
      <c r="B89" s="45"/>
      <c r="C89" s="45"/>
      <c r="D89" s="45"/>
      <c r="E89" s="45"/>
      <c r="F89" s="45"/>
      <c r="G89" s="45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5"/>
      <c r="B91" s="45"/>
      <c r="C91" s="45"/>
      <c r="D91" s="45"/>
      <c r="E91" s="45"/>
      <c r="F91" s="45"/>
      <c r="G91" s="45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5"/>
      <c r="B93" s="45"/>
      <c r="C93" s="45"/>
      <c r="D93" s="45"/>
      <c r="E93" s="45"/>
      <c r="F93" s="45"/>
      <c r="G93" s="45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5"/>
      <c r="B95" s="45"/>
      <c r="C95" s="45"/>
      <c r="D95" s="45"/>
      <c r="E95" s="45"/>
      <c r="F95" s="45"/>
      <c r="G95" s="45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5"/>
      <c r="B97" s="45"/>
      <c r="C97" s="45"/>
      <c r="D97" s="45"/>
      <c r="E97" s="45"/>
      <c r="F97" s="45"/>
      <c r="G97" s="45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5"/>
      <c r="B99" s="45"/>
      <c r="C99" s="45"/>
      <c r="D99" s="45"/>
      <c r="E99" s="45"/>
      <c r="F99" s="45"/>
      <c r="G99" s="45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5"/>
      <c r="B101" s="45"/>
      <c r="C101" s="45"/>
      <c r="D101" s="45"/>
      <c r="E101" s="45"/>
      <c r="F101" s="45"/>
      <c r="G101" s="45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5"/>
      <c r="B103" s="45"/>
      <c r="C103" s="45"/>
      <c r="D103" s="45"/>
      <c r="E103" s="45"/>
      <c r="F103" s="45"/>
      <c r="G103" s="45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5"/>
      <c r="B105" s="45"/>
      <c r="C105" s="45"/>
      <c r="D105" s="45"/>
      <c r="E105" s="45"/>
      <c r="F105" s="45"/>
      <c r="G105" s="45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5"/>
      <c r="B107" s="45"/>
      <c r="C107" s="45"/>
      <c r="D107" s="45"/>
      <c r="E107" s="45"/>
      <c r="F107" s="45"/>
      <c r="G107" s="45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5"/>
      <c r="B109" s="45"/>
      <c r="C109" s="45"/>
      <c r="D109" s="45"/>
      <c r="E109" s="45"/>
      <c r="F109" s="45"/>
      <c r="G109" s="45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5"/>
      <c r="B111" s="45"/>
      <c r="C111" s="45"/>
      <c r="D111" s="45"/>
      <c r="E111" s="45"/>
      <c r="F111" s="45"/>
      <c r="G111" s="45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5"/>
      <c r="B113" s="45"/>
      <c r="C113" s="45"/>
      <c r="D113" s="45"/>
      <c r="E113" s="45"/>
      <c r="F113" s="45"/>
      <c r="G113" s="45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5"/>
      <c r="B115" s="45"/>
      <c r="C115" s="45"/>
      <c r="D115" s="45"/>
      <c r="E115" s="45"/>
      <c r="F115" s="45"/>
      <c r="G115" s="45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5"/>
      <c r="B117" s="45"/>
      <c r="C117" s="45"/>
      <c r="D117" s="45"/>
      <c r="E117" s="45"/>
      <c r="F117" s="45"/>
      <c r="G117" s="45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5"/>
      <c r="B119" s="45"/>
      <c r="C119" s="45"/>
      <c r="D119" s="45"/>
      <c r="E119" s="45"/>
      <c r="F119" s="45"/>
      <c r="G119" s="45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5"/>
      <c r="B121" s="45"/>
      <c r="C121" s="45"/>
      <c r="D121" s="45"/>
      <c r="E121" s="45"/>
      <c r="F121" s="45"/>
      <c r="G121" s="45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5"/>
      <c r="B123" s="45"/>
      <c r="C123" s="45"/>
      <c r="D123" s="45"/>
      <c r="E123" s="45"/>
      <c r="F123" s="45"/>
      <c r="G123" s="45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5"/>
      <c r="B125" s="45"/>
      <c r="C125" s="45"/>
      <c r="D125" s="45"/>
      <c r="E125" s="45"/>
      <c r="F125" s="45"/>
      <c r="G125" s="45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5"/>
      <c r="B127" s="45"/>
      <c r="C127" s="45"/>
      <c r="D127" s="45"/>
      <c r="E127" s="45"/>
      <c r="F127" s="45"/>
      <c r="G127" s="45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5"/>
      <c r="B129" s="45"/>
      <c r="C129" s="45"/>
      <c r="D129" s="45"/>
      <c r="E129" s="45"/>
      <c r="F129" s="45"/>
      <c r="G129" s="45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5"/>
      <c r="B131" s="45"/>
      <c r="C131" s="45"/>
      <c r="D131" s="45"/>
      <c r="E131" s="45"/>
      <c r="F131" s="45"/>
      <c r="G131" s="45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5"/>
      <c r="B133" s="45"/>
      <c r="C133" s="45"/>
      <c r="D133" s="45"/>
      <c r="E133" s="45"/>
      <c r="F133" s="45"/>
      <c r="G133" s="45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5"/>
      <c r="B135" s="45"/>
      <c r="C135" s="45"/>
      <c r="D135" s="45"/>
      <c r="E135" s="45"/>
      <c r="F135" s="45"/>
      <c r="G135" s="45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5"/>
      <c r="B137" s="45"/>
      <c r="C137" s="45"/>
      <c r="D137" s="45"/>
      <c r="E137" s="45"/>
      <c r="F137" s="45"/>
      <c r="G137" s="45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5"/>
      <c r="B139" s="45"/>
      <c r="C139" s="45"/>
      <c r="D139" s="45"/>
      <c r="E139" s="45"/>
      <c r="F139" s="45"/>
      <c r="G139" s="45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5"/>
      <c r="B141" s="45"/>
      <c r="C141" s="45"/>
      <c r="D141" s="45"/>
      <c r="E141" s="45"/>
      <c r="F141" s="45"/>
      <c r="G141" s="45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5"/>
      <c r="B143" s="45"/>
      <c r="C143" s="45"/>
      <c r="D143" s="45"/>
      <c r="E143" s="45"/>
      <c r="F143" s="45"/>
      <c r="G143" s="45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5"/>
      <c r="B145" s="45"/>
      <c r="C145" s="45"/>
      <c r="D145" s="45"/>
      <c r="E145" s="45"/>
      <c r="F145" s="45"/>
      <c r="G145" s="45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5"/>
      <c r="B147" s="45"/>
      <c r="C147" s="45"/>
      <c r="D147" s="45"/>
      <c r="E147" s="45"/>
      <c r="F147" s="45"/>
      <c r="G147" s="45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5"/>
      <c r="B149" s="45"/>
      <c r="C149" s="45"/>
      <c r="D149" s="45"/>
      <c r="E149" s="45"/>
      <c r="F149" s="45"/>
      <c r="G149" s="45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5"/>
      <c r="B151" s="45"/>
      <c r="C151" s="45"/>
      <c r="D151" s="45"/>
      <c r="E151" s="45"/>
      <c r="F151" s="45"/>
      <c r="G151" s="45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5"/>
      <c r="B153" s="45"/>
      <c r="C153" s="45"/>
      <c r="D153" s="45"/>
      <c r="E153" s="45"/>
      <c r="F153" s="45"/>
      <c r="G153" s="45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5"/>
      <c r="B155" s="45"/>
      <c r="C155" s="45"/>
      <c r="D155" s="45"/>
      <c r="E155" s="45"/>
      <c r="F155" s="45"/>
      <c r="G155" s="45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5"/>
      <c r="B157" s="45"/>
      <c r="C157" s="45"/>
      <c r="D157" s="45"/>
      <c r="E157" s="45"/>
      <c r="F157" s="45"/>
      <c r="G157" s="45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5"/>
      <c r="B159" s="45"/>
      <c r="C159" s="45"/>
      <c r="D159" s="45"/>
      <c r="E159" s="45"/>
      <c r="F159" s="45"/>
      <c r="G159" s="45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5"/>
      <c r="B161" s="45"/>
      <c r="C161" s="45"/>
      <c r="D161" s="45"/>
      <c r="E161" s="45"/>
      <c r="F161" s="45"/>
      <c r="G161" s="45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5"/>
      <c r="B163" s="45"/>
      <c r="C163" s="45"/>
      <c r="D163" s="45"/>
      <c r="E163" s="45"/>
      <c r="F163" s="45"/>
      <c r="G163" s="45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5"/>
      <c r="B165" s="45"/>
      <c r="C165" s="45"/>
      <c r="D165" s="45"/>
      <c r="E165" s="45"/>
      <c r="F165" s="45"/>
      <c r="G165" s="45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5"/>
      <c r="B167" s="45"/>
      <c r="C167" s="45"/>
      <c r="D167" s="45"/>
      <c r="E167" s="45"/>
      <c r="F167" s="45"/>
      <c r="G167" s="45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5"/>
      <c r="B169" s="45"/>
      <c r="C169" s="45"/>
      <c r="D169" s="45"/>
      <c r="E169" s="45"/>
      <c r="F169" s="45"/>
      <c r="G169" s="45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5"/>
      <c r="B171" s="45"/>
      <c r="C171" s="45"/>
      <c r="D171" s="45"/>
      <c r="E171" s="45"/>
      <c r="F171" s="45"/>
      <c r="G171" s="45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5"/>
      <c r="B173" s="45"/>
      <c r="C173" s="45"/>
      <c r="D173" s="45"/>
      <c r="E173" s="45"/>
      <c r="F173" s="45"/>
      <c r="G173" s="45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5"/>
      <c r="B175" s="45"/>
      <c r="C175" s="45"/>
      <c r="D175" s="45"/>
      <c r="E175" s="45"/>
      <c r="F175" s="45"/>
      <c r="G175" s="45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5"/>
      <c r="B177" s="45"/>
      <c r="C177" s="45"/>
      <c r="D177" s="45"/>
      <c r="E177" s="45"/>
      <c r="F177" s="45"/>
      <c r="G177" s="45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5"/>
      <c r="B179" s="45"/>
      <c r="C179" s="45"/>
      <c r="D179" s="45"/>
      <c r="E179" s="45"/>
      <c r="F179" s="45"/>
      <c r="G179" s="45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5"/>
      <c r="B181" s="45"/>
      <c r="C181" s="45"/>
      <c r="D181" s="45"/>
      <c r="E181" s="45"/>
      <c r="F181" s="45"/>
      <c r="G181" s="45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5"/>
      <c r="B183" s="45"/>
      <c r="C183" s="45"/>
      <c r="D183" s="45"/>
      <c r="E183" s="45"/>
      <c r="F183" s="45"/>
      <c r="G183" s="45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5"/>
      <c r="B185" s="45"/>
      <c r="C185" s="45"/>
      <c r="D185" s="45"/>
      <c r="E185" s="45"/>
      <c r="F185" s="45"/>
      <c r="G185" s="45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5"/>
      <c r="B187" s="45"/>
      <c r="C187" s="45"/>
      <c r="D187" s="45"/>
      <c r="E187" s="45"/>
      <c r="F187" s="45"/>
      <c r="G187" s="45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5"/>
      <c r="B189" s="45"/>
      <c r="C189" s="45"/>
      <c r="D189" s="45"/>
      <c r="E189" s="45"/>
      <c r="F189" s="45"/>
      <c r="G189" s="45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5"/>
      <c r="B191" s="45"/>
      <c r="C191" s="45"/>
      <c r="D191" s="45"/>
      <c r="E191" s="45"/>
      <c r="F191" s="45"/>
      <c r="G191" s="45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5"/>
      <c r="B193" s="45"/>
      <c r="C193" s="45"/>
      <c r="D193" s="45"/>
      <c r="E193" s="45"/>
      <c r="F193" s="45"/>
      <c r="G193" s="45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5"/>
      <c r="B195" s="45"/>
      <c r="C195" s="45"/>
      <c r="D195" s="45"/>
      <c r="E195" s="45"/>
      <c r="F195" s="45"/>
      <c r="G195" s="45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5"/>
      <c r="B197" s="45"/>
      <c r="C197" s="45"/>
      <c r="D197" s="45"/>
      <c r="E197" s="45"/>
      <c r="F197" s="45"/>
      <c r="G197" s="45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5"/>
      <c r="B199" s="45"/>
      <c r="C199" s="45"/>
      <c r="D199" s="45"/>
      <c r="E199" s="45"/>
      <c r="F199" s="45"/>
      <c r="G199" s="45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5"/>
      <c r="B201" s="45"/>
      <c r="C201" s="45"/>
      <c r="D201" s="45"/>
      <c r="E201" s="45"/>
      <c r="F201" s="45"/>
      <c r="G201" s="45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5"/>
      <c r="B203" s="45"/>
      <c r="C203" s="45"/>
      <c r="D203" s="45"/>
      <c r="E203" s="45"/>
      <c r="F203" s="45"/>
      <c r="G203" s="45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5"/>
      <c r="B205" s="45"/>
      <c r="C205" s="45"/>
      <c r="D205" s="45"/>
      <c r="E205" s="45"/>
      <c r="F205" s="45"/>
      <c r="G205" s="45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5"/>
      <c r="B207" s="45"/>
      <c r="C207" s="45"/>
      <c r="D207" s="45"/>
      <c r="E207" s="45"/>
      <c r="F207" s="45"/>
      <c r="G207" s="45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5"/>
      <c r="B209" s="45"/>
      <c r="C209" s="45"/>
      <c r="D209" s="45"/>
      <c r="E209" s="45"/>
      <c r="F209" s="45"/>
      <c r="G209" s="45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5"/>
      <c r="B211" s="45"/>
      <c r="C211" s="45"/>
      <c r="D211" s="45"/>
      <c r="E211" s="45"/>
      <c r="F211" s="45"/>
      <c r="G211" s="45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5"/>
      <c r="B213" s="45"/>
      <c r="C213" s="45"/>
      <c r="D213" s="45"/>
      <c r="E213" s="45"/>
      <c r="F213" s="45"/>
      <c r="G213" s="45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5"/>
      <c r="B215" s="45"/>
      <c r="C215" s="45"/>
      <c r="D215" s="45"/>
      <c r="E215" s="45"/>
      <c r="F215" s="45"/>
      <c r="G215" s="45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5"/>
      <c r="B217" s="45"/>
      <c r="C217" s="45"/>
      <c r="D217" s="45"/>
      <c r="E217" s="45"/>
      <c r="F217" s="45"/>
      <c r="G217" s="45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5"/>
      <c r="B219" s="45"/>
      <c r="C219" s="45"/>
      <c r="D219" s="45"/>
      <c r="E219" s="45"/>
      <c r="F219" s="45"/>
      <c r="G219" s="45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5"/>
      <c r="B221" s="45"/>
      <c r="C221" s="45"/>
      <c r="D221" s="45"/>
      <c r="E221" s="45"/>
      <c r="F221" s="45"/>
      <c r="G221" s="45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5"/>
      <c r="B223" s="45"/>
      <c r="C223" s="45"/>
      <c r="D223" s="45"/>
      <c r="E223" s="45"/>
      <c r="F223" s="45"/>
      <c r="G223" s="45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5"/>
      <c r="B225" s="45"/>
      <c r="C225" s="45"/>
      <c r="D225" s="45"/>
      <c r="E225" s="45"/>
      <c r="F225" s="45"/>
      <c r="G225" s="45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5"/>
      <c r="B227" s="45"/>
      <c r="C227" s="45"/>
      <c r="D227" s="45"/>
      <c r="E227" s="45"/>
      <c r="F227" s="45"/>
      <c r="G227" s="45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5"/>
      <c r="B229" s="45"/>
      <c r="C229" s="45"/>
      <c r="D229" s="45"/>
      <c r="E229" s="45"/>
      <c r="F229" s="45"/>
      <c r="G229" s="45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5"/>
      <c r="B231" s="45"/>
      <c r="C231" s="45"/>
      <c r="D231" s="45"/>
      <c r="E231" s="45"/>
      <c r="F231" s="45"/>
      <c r="G231" s="45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5"/>
      <c r="B233" s="45"/>
      <c r="C233" s="45"/>
      <c r="D233" s="45"/>
      <c r="E233" s="45"/>
      <c r="F233" s="45"/>
      <c r="G233" s="45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5"/>
      <c r="B235" s="45"/>
      <c r="C235" s="45"/>
      <c r="D235" s="45"/>
      <c r="E235" s="45"/>
      <c r="F235" s="45"/>
      <c r="G235" s="45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5"/>
      <c r="B237" s="45"/>
      <c r="C237" s="45"/>
      <c r="D237" s="45"/>
      <c r="E237" s="45"/>
      <c r="F237" s="45"/>
      <c r="G237" s="45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5"/>
      <c r="B239" s="45"/>
      <c r="C239" s="45"/>
      <c r="D239" s="45"/>
      <c r="E239" s="45"/>
      <c r="F239" s="45"/>
      <c r="G239" s="45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5"/>
      <c r="B241" s="45"/>
      <c r="C241" s="45"/>
      <c r="D241" s="45"/>
      <c r="E241" s="45"/>
      <c r="F241" s="45"/>
      <c r="G241" s="45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5"/>
      <c r="B243" s="45"/>
      <c r="C243" s="45"/>
      <c r="D243" s="45"/>
      <c r="E243" s="45"/>
      <c r="F243" s="45"/>
      <c r="G243" s="45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5"/>
      <c r="B245" s="45"/>
      <c r="C245" s="45"/>
      <c r="D245" s="45"/>
      <c r="E245" s="45"/>
      <c r="F245" s="45"/>
      <c r="G245" s="45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5"/>
      <c r="B247" s="45"/>
      <c r="C247" s="45"/>
      <c r="D247" s="45"/>
      <c r="E247" s="45"/>
      <c r="F247" s="45"/>
      <c r="G247" s="45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5"/>
      <c r="B249" s="45"/>
      <c r="C249" s="45"/>
      <c r="D249" s="45"/>
      <c r="E249" s="45"/>
      <c r="F249" s="45"/>
      <c r="G249" s="45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5"/>
      <c r="B251" s="45"/>
      <c r="C251" s="45"/>
      <c r="D251" s="45"/>
      <c r="E251" s="45"/>
      <c r="F251" s="45"/>
      <c r="G251" s="45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5"/>
      <c r="B253" s="45"/>
      <c r="C253" s="45"/>
      <c r="D253" s="45"/>
      <c r="E253" s="45"/>
      <c r="F253" s="45"/>
      <c r="G253" s="45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5"/>
      <c r="B255" s="45"/>
      <c r="C255" s="45"/>
      <c r="D255" s="45"/>
      <c r="E255" s="45"/>
      <c r="F255" s="45"/>
      <c r="G255" s="45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5"/>
      <c r="B297" s="45"/>
      <c r="C297" s="45"/>
      <c r="D297" s="45"/>
      <c r="E297" s="45"/>
      <c r="F297" s="45"/>
      <c r="G297" s="45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5"/>
      <c r="B299" s="45"/>
      <c r="C299" s="45"/>
      <c r="D299" s="45"/>
      <c r="E299" s="45"/>
      <c r="F299" s="45"/>
      <c r="G299" s="45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5"/>
      <c r="B301" s="45"/>
      <c r="C301" s="45"/>
      <c r="D301" s="45"/>
      <c r="E301" s="45"/>
      <c r="F301" s="45"/>
      <c r="G301" s="45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5"/>
      <c r="B303" s="45"/>
      <c r="C303" s="45"/>
      <c r="D303" s="45"/>
      <c r="E303" s="45"/>
      <c r="F303" s="45"/>
      <c r="G303" s="45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5"/>
      <c r="B305" s="45"/>
      <c r="C305" s="45"/>
      <c r="D305" s="45"/>
      <c r="E305" s="45"/>
      <c r="F305" s="45"/>
      <c r="G305" s="45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5"/>
      <c r="B307" s="45"/>
      <c r="C307" s="45"/>
      <c r="D307" s="45"/>
      <c r="E307" s="45"/>
      <c r="F307" s="45"/>
      <c r="G307" s="45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5"/>
      <c r="B309" s="45"/>
      <c r="C309" s="45"/>
      <c r="D309" s="45"/>
      <c r="E309" s="45"/>
      <c r="F309" s="45"/>
      <c r="G309" s="45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5"/>
      <c r="B311" s="45"/>
      <c r="C311" s="45"/>
      <c r="D311" s="45"/>
      <c r="E311" s="45"/>
      <c r="F311" s="45"/>
      <c r="G311" s="45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5"/>
      <c r="B313" s="45"/>
      <c r="C313" s="45"/>
      <c r="D313" s="45"/>
      <c r="E313" s="45"/>
      <c r="F313" s="45"/>
      <c r="G313" s="45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5"/>
      <c r="B315" s="45"/>
      <c r="C315" s="45"/>
      <c r="D315" s="45"/>
      <c r="E315" s="45"/>
      <c r="F315" s="45"/>
      <c r="G315" s="45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5"/>
      <c r="B317" s="45"/>
      <c r="C317" s="45"/>
      <c r="D317" s="45"/>
      <c r="E317" s="45"/>
      <c r="F317" s="45"/>
      <c r="G317" s="45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5"/>
      <c r="B319" s="45"/>
      <c r="C319" s="45"/>
      <c r="D319" s="45"/>
      <c r="E319" s="45"/>
      <c r="F319" s="45"/>
      <c r="G319" s="45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5"/>
      <c r="B321" s="45"/>
      <c r="C321" s="45"/>
      <c r="D321" s="45"/>
      <c r="E321" s="45"/>
      <c r="F321" s="45"/>
      <c r="G321" s="45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5"/>
      <c r="B323" s="45"/>
      <c r="C323" s="45"/>
      <c r="D323" s="45"/>
      <c r="E323" s="45"/>
      <c r="F323" s="45"/>
      <c r="G323" s="45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5"/>
      <c r="B325" s="45"/>
      <c r="C325" s="45"/>
      <c r="D325" s="45"/>
      <c r="E325" s="45"/>
      <c r="F325" s="45"/>
      <c r="G325" s="45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5"/>
      <c r="B327" s="45"/>
      <c r="C327" s="45"/>
      <c r="D327" s="45"/>
      <c r="E327" s="45"/>
      <c r="F327" s="45"/>
      <c r="G327" s="45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5"/>
      <c r="B329" s="45"/>
      <c r="C329" s="45"/>
      <c r="D329" s="45"/>
      <c r="E329" s="45"/>
      <c r="F329" s="45"/>
      <c r="G329" s="45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5"/>
      <c r="B331" s="45"/>
      <c r="C331" s="45"/>
      <c r="D331" s="45"/>
      <c r="E331" s="45"/>
      <c r="F331" s="45"/>
      <c r="G331" s="45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5"/>
      <c r="B333" s="45"/>
      <c r="C333" s="45"/>
      <c r="D333" s="45"/>
      <c r="E333" s="45"/>
      <c r="F333" s="45"/>
      <c r="G333" s="45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5"/>
      <c r="B335" s="45"/>
      <c r="C335" s="45"/>
      <c r="D335" s="45"/>
      <c r="E335" s="45"/>
      <c r="F335" s="45"/>
      <c r="G335" s="45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5"/>
      <c r="B337" s="45"/>
      <c r="C337" s="45"/>
      <c r="D337" s="45"/>
      <c r="E337" s="45"/>
      <c r="F337" s="45"/>
      <c r="G337" s="45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5"/>
      <c r="B339" s="45"/>
      <c r="C339" s="45"/>
      <c r="D339" s="45"/>
      <c r="E339" s="45"/>
      <c r="F339" s="45"/>
      <c r="G339" s="45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5"/>
      <c r="B341" s="45"/>
      <c r="C341" s="45"/>
      <c r="D341" s="45"/>
      <c r="E341" s="45"/>
      <c r="F341" s="45"/>
      <c r="G341" s="45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5"/>
      <c r="B343" s="45"/>
      <c r="C343" s="45"/>
      <c r="D343" s="45"/>
      <c r="E343" s="45"/>
      <c r="F343" s="45"/>
      <c r="G343" s="45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5"/>
      <c r="B345" s="45"/>
      <c r="C345" s="45"/>
      <c r="D345" s="45"/>
      <c r="E345" s="45"/>
      <c r="F345" s="45"/>
      <c r="G345" s="45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5"/>
      <c r="B347" s="45"/>
      <c r="C347" s="45"/>
      <c r="D347" s="45"/>
      <c r="E347" s="45"/>
      <c r="F347" s="45"/>
      <c r="G347" s="45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5"/>
      <c r="B349" s="45"/>
      <c r="C349" s="45"/>
      <c r="D349" s="45"/>
      <c r="E349" s="45"/>
      <c r="F349" s="45"/>
      <c r="G349" s="45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5"/>
      <c r="B351" s="45"/>
      <c r="C351" s="45"/>
      <c r="D351" s="45"/>
      <c r="E351" s="45"/>
      <c r="F351" s="45"/>
      <c r="G351" s="45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5"/>
      <c r="B353" s="45"/>
      <c r="C353" s="45"/>
      <c r="D353" s="45"/>
      <c r="E353" s="45"/>
      <c r="F353" s="45"/>
      <c r="G353" s="45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5"/>
      <c r="B355" s="45"/>
      <c r="C355" s="45"/>
      <c r="D355" s="45"/>
      <c r="E355" s="45"/>
      <c r="F355" s="45"/>
      <c r="G355" s="45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5"/>
      <c r="B357" s="45"/>
      <c r="C357" s="45"/>
      <c r="D357" s="45"/>
      <c r="E357" s="45"/>
      <c r="F357" s="45"/>
      <c r="G357" s="45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5"/>
      <c r="B359" s="45"/>
      <c r="C359" s="45"/>
      <c r="D359" s="45"/>
      <c r="E359" s="45"/>
      <c r="F359" s="45"/>
      <c r="G359" s="45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5"/>
      <c r="B361" s="45"/>
      <c r="C361" s="45"/>
      <c r="D361" s="45"/>
      <c r="E361" s="45"/>
      <c r="F361" s="45"/>
      <c r="G361" s="45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5"/>
      <c r="B363" s="45"/>
      <c r="C363" s="45"/>
      <c r="D363" s="45"/>
      <c r="E363" s="45"/>
      <c r="F363" s="45"/>
      <c r="G363" s="45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5"/>
      <c r="B365" s="45"/>
      <c r="C365" s="45"/>
      <c r="D365" s="45"/>
      <c r="E365" s="45"/>
      <c r="F365" s="45"/>
      <c r="G365" s="45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5"/>
      <c r="B367" s="45"/>
      <c r="C367" s="45"/>
      <c r="D367" s="45"/>
      <c r="E367" s="45"/>
      <c r="F367" s="45"/>
      <c r="G367" s="45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5"/>
      <c r="B369" s="45"/>
      <c r="C369" s="45"/>
      <c r="D369" s="45"/>
      <c r="E369" s="45"/>
      <c r="F369" s="45"/>
      <c r="G369" s="45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5"/>
      <c r="B371" s="45"/>
      <c r="C371" s="45"/>
      <c r="D371" s="45"/>
      <c r="E371" s="45"/>
      <c r="F371" s="45"/>
      <c r="G371" s="45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5"/>
      <c r="B373" s="45"/>
      <c r="C373" s="45"/>
      <c r="D373" s="45"/>
      <c r="E373" s="45"/>
      <c r="F373" s="45"/>
      <c r="G373" s="45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5"/>
      <c r="B375" s="45"/>
      <c r="C375" s="45"/>
      <c r="D375" s="45"/>
      <c r="E375" s="45"/>
      <c r="F375" s="45"/>
      <c r="G375" s="45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5"/>
      <c r="B377" s="45"/>
      <c r="C377" s="45"/>
      <c r="D377" s="45"/>
      <c r="E377" s="45"/>
      <c r="F377" s="45"/>
      <c r="G377" s="45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5"/>
      <c r="B379" s="45"/>
      <c r="C379" s="45"/>
      <c r="D379" s="45"/>
      <c r="E379" s="45"/>
      <c r="F379" s="45"/>
      <c r="G379" s="45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5"/>
      <c r="B381" s="45"/>
      <c r="C381" s="45"/>
      <c r="D381" s="45"/>
      <c r="E381" s="45"/>
      <c r="F381" s="45"/>
      <c r="G381" s="45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5"/>
      <c r="B383" s="45"/>
      <c r="C383" s="45"/>
      <c r="D383" s="45"/>
      <c r="E383" s="45"/>
      <c r="F383" s="45"/>
      <c r="G383" s="45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5"/>
      <c r="B385" s="45"/>
      <c r="C385" s="45"/>
      <c r="D385" s="45"/>
      <c r="E385" s="45"/>
      <c r="F385" s="45"/>
      <c r="G385" s="45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5"/>
      <c r="B387" s="45"/>
      <c r="C387" s="45"/>
      <c r="D387" s="45"/>
      <c r="E387" s="45"/>
      <c r="F387" s="45"/>
      <c r="G387" s="45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5"/>
      <c r="B389" s="45"/>
      <c r="C389" s="45"/>
      <c r="D389" s="45"/>
      <c r="E389" s="45"/>
      <c r="F389" s="45"/>
      <c r="G389" s="45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5"/>
      <c r="B391" s="45"/>
      <c r="C391" s="45"/>
      <c r="D391" s="45"/>
      <c r="E391" s="45"/>
      <c r="F391" s="45"/>
      <c r="G391" s="45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5"/>
      <c r="B393" s="45"/>
      <c r="C393" s="45"/>
      <c r="D393" s="45"/>
      <c r="E393" s="45"/>
      <c r="F393" s="45"/>
      <c r="G393" s="45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5"/>
      <c r="B395" s="45"/>
      <c r="C395" s="45"/>
      <c r="D395" s="45"/>
      <c r="E395" s="45"/>
      <c r="F395" s="45"/>
      <c r="G395" s="45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5"/>
      <c r="B397" s="45"/>
      <c r="C397" s="45"/>
      <c r="D397" s="45"/>
      <c r="E397" s="45"/>
      <c r="F397" s="45"/>
      <c r="G397" s="45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5"/>
      <c r="B399" s="45"/>
      <c r="C399" s="45"/>
      <c r="D399" s="45"/>
      <c r="E399" s="45"/>
      <c r="F399" s="45"/>
      <c r="G399" s="45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5"/>
      <c r="B401" s="45"/>
      <c r="C401" s="45"/>
      <c r="D401" s="45"/>
      <c r="E401" s="45"/>
      <c r="F401" s="45"/>
      <c r="G401" s="45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5"/>
      <c r="B403" s="45"/>
      <c r="C403" s="45"/>
      <c r="D403" s="45"/>
      <c r="E403" s="45"/>
      <c r="F403" s="45"/>
      <c r="G403" s="45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5"/>
      <c r="B405" s="45"/>
      <c r="C405" s="45"/>
      <c r="D405" s="45"/>
      <c r="E405" s="45"/>
      <c r="F405" s="45"/>
      <c r="G405" s="45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5"/>
      <c r="B407" s="45"/>
      <c r="C407" s="45"/>
      <c r="D407" s="45"/>
      <c r="E407" s="45"/>
      <c r="F407" s="45"/>
      <c r="G407" s="45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5"/>
      <c r="B409" s="45"/>
      <c r="C409" s="45"/>
      <c r="D409" s="45"/>
      <c r="E409" s="45"/>
      <c r="F409" s="45"/>
      <c r="G409" s="45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5"/>
      <c r="B411" s="45"/>
      <c r="C411" s="45"/>
      <c r="D411" s="45"/>
      <c r="E411" s="45"/>
      <c r="F411" s="45"/>
      <c r="G411" s="45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5"/>
      <c r="B413" s="45"/>
      <c r="C413" s="45"/>
      <c r="D413" s="45"/>
      <c r="E413" s="45"/>
      <c r="F413" s="45"/>
      <c r="G413" s="45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5"/>
      <c r="B415" s="45"/>
      <c r="C415" s="45"/>
      <c r="D415" s="45"/>
      <c r="E415" s="45"/>
      <c r="F415" s="45"/>
      <c r="G415" s="45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5"/>
      <c r="B417" s="45"/>
      <c r="C417" s="45"/>
      <c r="D417" s="45"/>
      <c r="E417" s="45"/>
      <c r="F417" s="45"/>
      <c r="G417" s="45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5"/>
      <c r="B419" s="45"/>
      <c r="C419" s="45"/>
      <c r="D419" s="45"/>
      <c r="E419" s="45"/>
      <c r="F419" s="45"/>
      <c r="G419" s="45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5"/>
      <c r="B421" s="45"/>
      <c r="C421" s="45"/>
      <c r="D421" s="45"/>
      <c r="E421" s="45"/>
      <c r="F421" s="45"/>
      <c r="G421" s="45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5"/>
      <c r="B423" s="45"/>
      <c r="C423" s="45"/>
      <c r="D423" s="45"/>
      <c r="E423" s="45"/>
      <c r="F423" s="45"/>
      <c r="G423" s="45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5"/>
      <c r="B425" s="45"/>
      <c r="C425" s="45"/>
      <c r="D425" s="45"/>
      <c r="E425" s="45"/>
      <c r="F425" s="45"/>
      <c r="G425" s="45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5"/>
      <c r="B427" s="45"/>
      <c r="C427" s="45"/>
      <c r="D427" s="45"/>
      <c r="E427" s="45"/>
      <c r="F427" s="45"/>
      <c r="G427" s="45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5"/>
      <c r="B429" s="45"/>
      <c r="C429" s="45"/>
      <c r="D429" s="45"/>
      <c r="E429" s="45"/>
      <c r="F429" s="45"/>
      <c r="G429" s="45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5"/>
      <c r="B431" s="45"/>
      <c r="C431" s="45"/>
      <c r="D431" s="45"/>
      <c r="E431" s="45"/>
      <c r="F431" s="45"/>
      <c r="G431" s="45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5"/>
      <c r="B433" s="45"/>
      <c r="C433" s="45"/>
      <c r="D433" s="45"/>
      <c r="E433" s="45"/>
      <c r="F433" s="45"/>
      <c r="G433" s="45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5"/>
      <c r="B435" s="45"/>
      <c r="C435" s="45"/>
      <c r="D435" s="45"/>
      <c r="E435" s="45"/>
      <c r="F435" s="45"/>
      <c r="G435" s="45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5"/>
      <c r="B437" s="45"/>
      <c r="C437" s="45"/>
      <c r="D437" s="45"/>
      <c r="E437" s="45"/>
      <c r="F437" s="45"/>
      <c r="G437" s="45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5"/>
      <c r="B439" s="45"/>
      <c r="C439" s="45"/>
      <c r="D439" s="45"/>
      <c r="E439" s="45"/>
      <c r="F439" s="45"/>
      <c r="G439" s="45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5"/>
      <c r="B441" s="45"/>
      <c r="C441" s="45"/>
      <c r="D441" s="45"/>
      <c r="E441" s="45"/>
      <c r="F441" s="45"/>
      <c r="G441" s="45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5"/>
      <c r="B443" s="45"/>
      <c r="C443" s="45"/>
      <c r="D443" s="45"/>
      <c r="E443" s="45"/>
      <c r="F443" s="45"/>
      <c r="G443" s="45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5"/>
      <c r="B445" s="45"/>
      <c r="C445" s="45"/>
      <c r="D445" s="45"/>
      <c r="E445" s="45"/>
      <c r="F445" s="45"/>
      <c r="G445" s="45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5"/>
      <c r="B447" s="45"/>
      <c r="C447" s="45"/>
      <c r="D447" s="45"/>
      <c r="E447" s="45"/>
      <c r="F447" s="45"/>
      <c r="G447" s="45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5"/>
      <c r="B449" s="45"/>
      <c r="C449" s="45"/>
      <c r="D449" s="45"/>
      <c r="E449" s="45"/>
      <c r="F449" s="45"/>
      <c r="G449" s="45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5"/>
      <c r="B451" s="45"/>
      <c r="C451" s="45"/>
      <c r="D451" s="45"/>
      <c r="E451" s="45"/>
      <c r="F451" s="45"/>
      <c r="G451" s="45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5"/>
      <c r="B453" s="45"/>
      <c r="C453" s="45"/>
      <c r="D453" s="45"/>
      <c r="E453" s="45"/>
      <c r="F453" s="45"/>
      <c r="G453" s="45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5"/>
      <c r="B455" s="45"/>
      <c r="C455" s="45"/>
      <c r="D455" s="45"/>
      <c r="E455" s="45"/>
      <c r="F455" s="45"/>
      <c r="G455" s="45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5"/>
      <c r="B457" s="45"/>
      <c r="C457" s="45"/>
      <c r="D457" s="45"/>
      <c r="E457" s="45"/>
      <c r="F457" s="45"/>
      <c r="G457" s="45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5"/>
      <c r="B459" s="45"/>
      <c r="C459" s="45"/>
      <c r="D459" s="45"/>
      <c r="E459" s="45"/>
      <c r="F459" s="45"/>
      <c r="G459" s="45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5"/>
      <c r="B461" s="45"/>
      <c r="C461" s="45"/>
      <c r="D461" s="45"/>
      <c r="E461" s="45"/>
      <c r="F461" s="45"/>
      <c r="G461" s="45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5"/>
      <c r="B463" s="45"/>
      <c r="C463" s="45"/>
      <c r="D463" s="45"/>
      <c r="E463" s="45"/>
      <c r="F463" s="45"/>
      <c r="G463" s="45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5"/>
      <c r="B465" s="45"/>
      <c r="C465" s="45"/>
      <c r="D465" s="45"/>
      <c r="E465" s="45"/>
      <c r="F465" s="45"/>
      <c r="G465" s="45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5"/>
      <c r="B467" s="45"/>
      <c r="C467" s="45"/>
      <c r="D467" s="45"/>
      <c r="E467" s="45"/>
      <c r="F467" s="45"/>
      <c r="G467" s="45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5"/>
      <c r="B469" s="45"/>
      <c r="C469" s="45"/>
      <c r="D469" s="45"/>
      <c r="E469" s="45"/>
      <c r="F469" s="45"/>
      <c r="G469" s="45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5"/>
      <c r="B471" s="45"/>
      <c r="C471" s="45"/>
      <c r="D471" s="45"/>
      <c r="E471" s="45"/>
      <c r="F471" s="45"/>
      <c r="G471" s="45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5"/>
      <c r="B473" s="45"/>
      <c r="C473" s="45"/>
      <c r="D473" s="45"/>
      <c r="E473" s="45"/>
      <c r="F473" s="45"/>
      <c r="G473" s="45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5"/>
      <c r="B475" s="45"/>
      <c r="C475" s="45"/>
      <c r="D475" s="45"/>
      <c r="E475" s="45"/>
      <c r="F475" s="45"/>
      <c r="G475" s="45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5"/>
      <c r="B477" s="45"/>
      <c r="C477" s="45"/>
      <c r="D477" s="45"/>
      <c r="E477" s="45"/>
      <c r="F477" s="45"/>
      <c r="G477" s="45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5"/>
      <c r="B479" s="45"/>
      <c r="C479" s="45"/>
      <c r="D479" s="45"/>
      <c r="E479" s="45"/>
      <c r="F479" s="45"/>
      <c r="G479" s="45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5"/>
      <c r="B481" s="45"/>
      <c r="C481" s="45"/>
      <c r="D481" s="45"/>
      <c r="E481" s="45"/>
      <c r="F481" s="45"/>
      <c r="G481" s="45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5"/>
      <c r="B483" s="45"/>
      <c r="C483" s="45"/>
      <c r="D483" s="45"/>
      <c r="E483" s="45"/>
      <c r="F483" s="45"/>
      <c r="G483" s="45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5"/>
      <c r="B485" s="45"/>
      <c r="C485" s="45"/>
      <c r="D485" s="45"/>
      <c r="E485" s="45"/>
      <c r="F485" s="45"/>
      <c r="G485" s="45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5"/>
      <c r="B487" s="45"/>
      <c r="C487" s="45"/>
      <c r="D487" s="45"/>
      <c r="E487" s="45"/>
      <c r="F487" s="45"/>
      <c r="G487" s="45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5"/>
      <c r="B489" s="45"/>
      <c r="C489" s="45"/>
      <c r="D489" s="45"/>
      <c r="E489" s="45"/>
      <c r="F489" s="45"/>
      <c r="G489" s="45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5"/>
      <c r="B491" s="45"/>
      <c r="C491" s="45"/>
      <c r="D491" s="45"/>
      <c r="E491" s="45"/>
      <c r="F491" s="45"/>
      <c r="G491" s="45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5"/>
      <c r="B493" s="45"/>
      <c r="C493" s="45"/>
      <c r="D493" s="45"/>
      <c r="E493" s="45"/>
      <c r="F493" s="45"/>
      <c r="G493" s="45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5"/>
      <c r="B495" s="45"/>
      <c r="C495" s="45"/>
      <c r="D495" s="45"/>
      <c r="E495" s="45"/>
      <c r="F495" s="45"/>
      <c r="G495" s="45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5"/>
      <c r="B497" s="45"/>
      <c r="C497" s="45"/>
      <c r="D497" s="45"/>
      <c r="E497" s="45"/>
      <c r="F497" s="45"/>
      <c r="G497" s="45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5"/>
      <c r="B499" s="45"/>
      <c r="C499" s="45"/>
      <c r="D499" s="45"/>
      <c r="E499" s="45"/>
      <c r="F499" s="45"/>
      <c r="G499" s="45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5"/>
      <c r="B501" s="45"/>
      <c r="C501" s="45"/>
      <c r="D501" s="45"/>
      <c r="E501" s="45"/>
      <c r="F501" s="45"/>
      <c r="G501" s="45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5"/>
      <c r="B503" s="45"/>
      <c r="C503" s="45"/>
      <c r="D503" s="45"/>
      <c r="E503" s="45"/>
      <c r="F503" s="45"/>
      <c r="G503" s="45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5"/>
      <c r="B505" s="45"/>
      <c r="C505" s="45"/>
      <c r="D505" s="45"/>
      <c r="E505" s="45"/>
      <c r="F505" s="45"/>
      <c r="G505" s="45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5"/>
      <c r="B507" s="45"/>
      <c r="C507" s="45"/>
      <c r="D507" s="45"/>
      <c r="E507" s="45"/>
      <c r="F507" s="45"/>
      <c r="G507" s="45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5"/>
      <c r="B509" s="45"/>
      <c r="C509" s="45"/>
      <c r="D509" s="45"/>
      <c r="E509" s="45"/>
      <c r="F509" s="45"/>
      <c r="G509" s="45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5"/>
      <c r="B511" s="45"/>
      <c r="C511" s="45"/>
      <c r="D511" s="45"/>
      <c r="E511" s="45"/>
      <c r="F511" s="45"/>
      <c r="G511" s="45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5"/>
      <c r="B513" s="45"/>
      <c r="C513" s="45"/>
      <c r="D513" s="45"/>
      <c r="E513" s="45"/>
      <c r="F513" s="45"/>
      <c r="G513" s="45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5"/>
      <c r="B515" s="45"/>
      <c r="C515" s="45"/>
      <c r="D515" s="45"/>
      <c r="E515" s="45"/>
      <c r="F515" s="45"/>
      <c r="G515" s="45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5"/>
      <c r="B517" s="45"/>
      <c r="C517" s="45"/>
      <c r="D517" s="45"/>
      <c r="E517" s="45"/>
      <c r="F517" s="45"/>
      <c r="G517" s="45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5"/>
      <c r="B519" s="45"/>
      <c r="C519" s="45"/>
      <c r="D519" s="45"/>
      <c r="E519" s="45"/>
      <c r="F519" s="45"/>
      <c r="G519" s="45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5"/>
      <c r="B521" s="45"/>
      <c r="C521" s="45"/>
      <c r="D521" s="45"/>
      <c r="E521" s="45"/>
      <c r="F521" s="45"/>
      <c r="G521" s="45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5"/>
      <c r="B523" s="45"/>
      <c r="C523" s="45"/>
      <c r="D523" s="45"/>
      <c r="E523" s="45"/>
      <c r="F523" s="45"/>
      <c r="G523" s="45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5"/>
      <c r="B525" s="45"/>
      <c r="C525" s="45"/>
      <c r="D525" s="45"/>
      <c r="E525" s="45"/>
      <c r="F525" s="45"/>
      <c r="G525" s="45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5"/>
      <c r="B527" s="45"/>
      <c r="C527" s="45"/>
      <c r="D527" s="45"/>
      <c r="E527" s="45"/>
      <c r="F527" s="45"/>
      <c r="G527" s="45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5"/>
      <c r="B529" s="45"/>
      <c r="C529" s="45"/>
      <c r="D529" s="45"/>
      <c r="E529" s="45"/>
      <c r="F529" s="45"/>
      <c r="G529" s="45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5"/>
      <c r="B531" s="45"/>
      <c r="C531" s="45"/>
      <c r="D531" s="45"/>
      <c r="E531" s="45"/>
      <c r="F531" s="45"/>
      <c r="G531" s="45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5"/>
      <c r="B533" s="45"/>
      <c r="C533" s="45"/>
      <c r="D533" s="45"/>
      <c r="E533" s="45"/>
      <c r="F533" s="45"/>
      <c r="G533" s="45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5"/>
      <c r="B535" s="45"/>
      <c r="C535" s="45"/>
      <c r="D535" s="45"/>
      <c r="E535" s="45"/>
      <c r="F535" s="45"/>
      <c r="G535" s="45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5"/>
      <c r="B537" s="45"/>
      <c r="C537" s="45"/>
      <c r="D537" s="45"/>
      <c r="E537" s="45"/>
      <c r="F537" s="45"/>
      <c r="G537" s="45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5"/>
      <c r="B539" s="45"/>
      <c r="C539" s="45"/>
      <c r="D539" s="45"/>
      <c r="E539" s="45"/>
      <c r="F539" s="45"/>
      <c r="G539" s="45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5"/>
      <c r="B541" s="45"/>
      <c r="C541" s="45"/>
      <c r="D541" s="45"/>
      <c r="E541" s="45"/>
      <c r="F541" s="45"/>
      <c r="G541" s="45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5"/>
      <c r="B543" s="45"/>
      <c r="C543" s="45"/>
      <c r="D543" s="45"/>
      <c r="E543" s="45"/>
      <c r="F543" s="45"/>
      <c r="G543" s="45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5"/>
      <c r="B545" s="45"/>
      <c r="C545" s="45"/>
      <c r="D545" s="45"/>
      <c r="E545" s="45"/>
      <c r="F545" s="45"/>
      <c r="G545" s="45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5"/>
      <c r="B547" s="45"/>
      <c r="C547" s="45"/>
      <c r="D547" s="45"/>
      <c r="E547" s="45"/>
      <c r="F547" s="45"/>
      <c r="G547" s="45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5"/>
      <c r="B549" s="45"/>
      <c r="C549" s="45"/>
      <c r="D549" s="45"/>
      <c r="E549" s="45"/>
      <c r="F549" s="45"/>
      <c r="G549" s="45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5"/>
      <c r="B551" s="45"/>
      <c r="C551" s="45"/>
      <c r="D551" s="45"/>
      <c r="E551" s="45"/>
      <c r="F551" s="45"/>
      <c r="G551" s="45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5"/>
      <c r="B553" s="45"/>
      <c r="C553" s="45"/>
      <c r="D553" s="45"/>
      <c r="E553" s="45"/>
      <c r="F553" s="45"/>
      <c r="G553" s="45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5"/>
      <c r="B555" s="45"/>
      <c r="C555" s="45"/>
      <c r="D555" s="45"/>
      <c r="E555" s="45"/>
      <c r="F555" s="45"/>
      <c r="G555" s="45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5"/>
      <c r="B557" s="45"/>
      <c r="C557" s="45"/>
      <c r="D557" s="45"/>
      <c r="E557" s="45"/>
      <c r="F557" s="45"/>
      <c r="G557" s="45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5"/>
      <c r="B559" s="45"/>
      <c r="C559" s="45"/>
      <c r="D559" s="45"/>
      <c r="E559" s="45"/>
      <c r="F559" s="45"/>
      <c r="G559" s="45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4B0A-541B-0E4F-8122-6FC486FD2D64}">
  <dimension ref="A1:L1008"/>
  <sheetViews>
    <sheetView workbookViewId="0">
      <selection activeCell="O22" sqref="O22"/>
    </sheetView>
  </sheetViews>
  <sheetFormatPr baseColWidth="10" defaultRowHeight="15" x14ac:dyDescent="0.2"/>
  <cols>
    <col min="1" max="1" width="11.83203125" style="42" bestFit="1" customWidth="1"/>
    <col min="2" max="16384" width="10.83203125" style="42"/>
  </cols>
  <sheetData>
    <row r="1" spans="1:12" x14ac:dyDescent="0.2">
      <c r="A1" s="41" t="s">
        <v>179</v>
      </c>
      <c r="B1" s="41" t="s">
        <v>178</v>
      </c>
      <c r="G1" s="43" t="s">
        <v>185</v>
      </c>
    </row>
    <row r="3" spans="1:12" x14ac:dyDescent="0.2">
      <c r="A3" s="43" t="s">
        <v>180</v>
      </c>
    </row>
    <row r="4" spans="1:12" x14ac:dyDescent="0.2">
      <c r="A4" s="44" t="s">
        <v>86</v>
      </c>
      <c r="B4" s="44" t="s">
        <v>187</v>
      </c>
      <c r="C4" s="44" t="s">
        <v>188</v>
      </c>
      <c r="D4" s="44" t="s">
        <v>189</v>
      </c>
      <c r="E4" s="44"/>
      <c r="F4" s="44"/>
      <c r="G4" s="44"/>
      <c r="H4" s="44"/>
      <c r="I4" s="44"/>
      <c r="J4" s="44"/>
      <c r="K4" s="44"/>
      <c r="L4" s="44"/>
    </row>
    <row r="5" spans="1:12" x14ac:dyDescent="0.2">
      <c r="A5" s="43" t="s">
        <v>181</v>
      </c>
    </row>
    <row r="6" spans="1:12" x14ac:dyDescent="0.2">
      <c r="A6" s="46" t="s">
        <v>182</v>
      </c>
      <c r="B6" s="45" t="s">
        <v>183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">
      <c r="A8" s="41" t="s">
        <v>86</v>
      </c>
      <c r="B8" s="41" t="s">
        <v>187</v>
      </c>
      <c r="C8" s="41" t="s">
        <v>188</v>
      </c>
      <c r="D8" s="41" t="s">
        <v>189</v>
      </c>
      <c r="E8" s="41" t="s">
        <v>178</v>
      </c>
      <c r="F8" s="41" t="s">
        <v>182</v>
      </c>
      <c r="G8" s="41" t="s">
        <v>183</v>
      </c>
      <c r="J8" s="43" t="s">
        <v>186</v>
      </c>
    </row>
    <row r="9" spans="1:12" x14ac:dyDescent="0.2">
      <c r="A9" s="45">
        <v>2015.5</v>
      </c>
      <c r="B9" s="45" t="s">
        <v>190</v>
      </c>
      <c r="C9" s="45" t="s">
        <v>44</v>
      </c>
      <c r="D9" s="45" t="s">
        <v>211</v>
      </c>
      <c r="E9" s="45">
        <v>1.4E-3</v>
      </c>
      <c r="F9" s="45"/>
      <c r="G9" s="45">
        <v>1592.9985002790099</v>
      </c>
    </row>
    <row r="10" spans="1:12" x14ac:dyDescent="0.2">
      <c r="A10" s="44">
        <v>2015.5</v>
      </c>
      <c r="B10" s="44" t="s">
        <v>190</v>
      </c>
      <c r="C10" s="44" t="s">
        <v>44</v>
      </c>
      <c r="D10" s="44" t="s">
        <v>212</v>
      </c>
      <c r="E10" s="44">
        <v>4.7999999999999996E-3</v>
      </c>
      <c r="F10" s="44"/>
      <c r="G10" s="44">
        <v>744.45542399088504</v>
      </c>
    </row>
    <row r="11" spans="1:12" x14ac:dyDescent="0.2">
      <c r="A11" s="45">
        <v>2015.5</v>
      </c>
      <c r="B11" s="45" t="s">
        <v>190</v>
      </c>
      <c r="C11" s="45" t="s">
        <v>44</v>
      </c>
      <c r="D11" s="45" t="s">
        <v>213</v>
      </c>
      <c r="E11" s="45">
        <v>3.8E-3</v>
      </c>
      <c r="F11" s="45"/>
      <c r="G11" s="45">
        <v>748.763689543071</v>
      </c>
    </row>
    <row r="12" spans="1:12" x14ac:dyDescent="0.2">
      <c r="A12" s="44">
        <v>2015.5</v>
      </c>
      <c r="B12" s="44" t="s">
        <v>190</v>
      </c>
      <c r="C12" s="44" t="s">
        <v>43</v>
      </c>
      <c r="D12" s="44" t="s">
        <v>211</v>
      </c>
      <c r="E12" s="44">
        <v>5.3E-3</v>
      </c>
      <c r="F12" s="44"/>
      <c r="G12" s="44">
        <v>1461.90041365713</v>
      </c>
    </row>
    <row r="13" spans="1:12" x14ac:dyDescent="0.2">
      <c r="A13" s="45">
        <v>2015.5</v>
      </c>
      <c r="B13" s="45" t="s">
        <v>190</v>
      </c>
      <c r="C13" s="45" t="s">
        <v>43</v>
      </c>
      <c r="D13" s="45" t="s">
        <v>212</v>
      </c>
      <c r="E13" s="45">
        <v>1.11E-2</v>
      </c>
      <c r="F13" s="45"/>
      <c r="G13" s="45">
        <v>947.51932010135101</v>
      </c>
    </row>
    <row r="14" spans="1:12" x14ac:dyDescent="0.2">
      <c r="A14" s="44">
        <v>2015.5</v>
      </c>
      <c r="B14" s="44" t="s">
        <v>190</v>
      </c>
      <c r="C14" s="44" t="s">
        <v>43</v>
      </c>
      <c r="D14" s="44" t="s">
        <v>213</v>
      </c>
      <c r="E14" s="44">
        <v>4.1999999999999997E-3</v>
      </c>
      <c r="F14" s="44"/>
      <c r="G14" s="44">
        <v>848.678402855282</v>
      </c>
    </row>
    <row r="15" spans="1:12" x14ac:dyDescent="0.2">
      <c r="A15" s="45"/>
      <c r="B15" s="45"/>
      <c r="C15" s="45"/>
      <c r="D15" s="45"/>
      <c r="E15" s="45"/>
      <c r="F15" s="45"/>
      <c r="G15" s="45"/>
    </row>
    <row r="16" spans="1:12" x14ac:dyDescent="0.2">
      <c r="A16" s="44"/>
      <c r="B16" s="44"/>
      <c r="C16" s="44"/>
      <c r="D16" s="44"/>
      <c r="E16" s="44"/>
      <c r="F16" s="44"/>
      <c r="G16" s="44"/>
    </row>
    <row r="17" spans="1:7" x14ac:dyDescent="0.2">
      <c r="A17" s="45"/>
      <c r="B17" s="45"/>
      <c r="C17" s="45"/>
      <c r="D17" s="45"/>
      <c r="E17" s="45"/>
      <c r="F17" s="45"/>
      <c r="G17" s="45"/>
    </row>
    <row r="18" spans="1:7" x14ac:dyDescent="0.2">
      <c r="A18" s="44"/>
      <c r="B18" s="44"/>
      <c r="C18" s="44"/>
      <c r="D18" s="44"/>
      <c r="E18" s="44"/>
      <c r="F18" s="44"/>
      <c r="G18" s="44"/>
    </row>
    <row r="19" spans="1:7" x14ac:dyDescent="0.2">
      <c r="A19" s="45"/>
      <c r="B19" s="45"/>
      <c r="C19" s="45"/>
      <c r="D19" s="45"/>
      <c r="E19" s="45"/>
      <c r="F19" s="45"/>
      <c r="G19" s="45"/>
    </row>
    <row r="20" spans="1:7" x14ac:dyDescent="0.2">
      <c r="A20" s="44"/>
      <c r="B20" s="44"/>
      <c r="C20" s="44"/>
      <c r="D20" s="44"/>
      <c r="E20" s="44"/>
      <c r="F20" s="44"/>
      <c r="G20" s="44"/>
    </row>
    <row r="21" spans="1:7" x14ac:dyDescent="0.2">
      <c r="A21" s="45"/>
      <c r="B21" s="45"/>
      <c r="C21" s="45"/>
      <c r="D21" s="45"/>
      <c r="E21" s="45"/>
      <c r="F21" s="45"/>
      <c r="G21" s="45"/>
    </row>
    <row r="22" spans="1:7" x14ac:dyDescent="0.2">
      <c r="A22" s="44"/>
      <c r="B22" s="44"/>
      <c r="C22" s="44"/>
      <c r="D22" s="44"/>
      <c r="E22" s="44"/>
      <c r="F22" s="44"/>
      <c r="G22" s="44"/>
    </row>
    <row r="23" spans="1:7" x14ac:dyDescent="0.2">
      <c r="A23" s="45"/>
      <c r="B23" s="45"/>
      <c r="C23" s="45"/>
      <c r="D23" s="45"/>
      <c r="E23" s="45"/>
      <c r="F23" s="45"/>
      <c r="G23" s="45"/>
    </row>
    <row r="24" spans="1:7" x14ac:dyDescent="0.2">
      <c r="A24" s="44"/>
      <c r="B24" s="44"/>
      <c r="C24" s="44"/>
      <c r="D24" s="44"/>
      <c r="E24" s="44"/>
      <c r="F24" s="44"/>
      <c r="G24" s="44"/>
    </row>
    <row r="25" spans="1:7" x14ac:dyDescent="0.2">
      <c r="A25" s="45"/>
      <c r="B25" s="45"/>
      <c r="C25" s="45"/>
      <c r="D25" s="45"/>
      <c r="E25" s="45"/>
      <c r="F25" s="45"/>
      <c r="G25" s="45"/>
    </row>
    <row r="26" spans="1:7" x14ac:dyDescent="0.2">
      <c r="A26" s="44"/>
      <c r="B26" s="44"/>
      <c r="C26" s="44"/>
      <c r="D26" s="44"/>
      <c r="E26" s="44"/>
      <c r="F26" s="44"/>
      <c r="G26" s="44"/>
    </row>
    <row r="27" spans="1:7" x14ac:dyDescent="0.2">
      <c r="A27" s="45"/>
      <c r="B27" s="45"/>
      <c r="C27" s="45"/>
      <c r="D27" s="45"/>
      <c r="E27" s="45"/>
      <c r="F27" s="45"/>
      <c r="G27" s="45"/>
    </row>
    <row r="28" spans="1:7" x14ac:dyDescent="0.2">
      <c r="A28" s="44"/>
      <c r="B28" s="44"/>
      <c r="C28" s="44"/>
      <c r="D28" s="44"/>
      <c r="E28" s="44"/>
      <c r="F28" s="44"/>
      <c r="G28" s="44"/>
    </row>
    <row r="29" spans="1:7" x14ac:dyDescent="0.2">
      <c r="A29" s="45"/>
      <c r="B29" s="45"/>
      <c r="C29" s="45"/>
      <c r="D29" s="45"/>
      <c r="E29" s="45"/>
      <c r="F29" s="45"/>
      <c r="G29" s="45"/>
    </row>
    <row r="30" spans="1:7" x14ac:dyDescent="0.2">
      <c r="A30" s="44"/>
      <c r="B30" s="44"/>
      <c r="C30" s="44"/>
      <c r="D30" s="44"/>
      <c r="E30" s="44"/>
      <c r="F30" s="44"/>
      <c r="G30" s="44"/>
    </row>
    <row r="31" spans="1:7" x14ac:dyDescent="0.2">
      <c r="A31" s="45"/>
      <c r="B31" s="45"/>
      <c r="C31" s="45"/>
      <c r="D31" s="45"/>
      <c r="E31" s="45"/>
      <c r="F31" s="45"/>
      <c r="G31" s="45"/>
    </row>
    <row r="32" spans="1:7" x14ac:dyDescent="0.2">
      <c r="A32" s="44"/>
      <c r="B32" s="44"/>
      <c r="C32" s="44"/>
      <c r="D32" s="44"/>
      <c r="E32" s="44"/>
      <c r="F32" s="44"/>
      <c r="G32" s="44"/>
    </row>
    <row r="33" spans="1:7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44"/>
      <c r="B34" s="44"/>
      <c r="C34" s="44"/>
      <c r="D34" s="44"/>
      <c r="E34" s="44"/>
      <c r="F34" s="44"/>
      <c r="G34" s="44"/>
    </row>
    <row r="35" spans="1:7" x14ac:dyDescent="0.2">
      <c r="A35" s="45"/>
      <c r="B35" s="45"/>
      <c r="C35" s="45"/>
      <c r="D35" s="45"/>
      <c r="E35" s="45"/>
      <c r="F35" s="45"/>
      <c r="G35" s="45"/>
    </row>
    <row r="36" spans="1:7" x14ac:dyDescent="0.2">
      <c r="A36" s="44"/>
      <c r="B36" s="44"/>
      <c r="C36" s="44"/>
      <c r="D36" s="44"/>
      <c r="E36" s="44"/>
      <c r="F36" s="44"/>
      <c r="G36" s="44"/>
    </row>
    <row r="37" spans="1:7" x14ac:dyDescent="0.2">
      <c r="A37" s="45"/>
      <c r="B37" s="45"/>
      <c r="C37" s="45"/>
      <c r="D37" s="45"/>
      <c r="E37" s="45"/>
      <c r="F37" s="45"/>
      <c r="G37" s="45"/>
    </row>
    <row r="38" spans="1:7" x14ac:dyDescent="0.2">
      <c r="A38" s="44"/>
      <c r="B38" s="44"/>
      <c r="C38" s="44"/>
      <c r="D38" s="44"/>
      <c r="E38" s="44"/>
      <c r="F38" s="44"/>
      <c r="G38" s="44"/>
    </row>
    <row r="39" spans="1:7" x14ac:dyDescent="0.2">
      <c r="A39" s="45"/>
      <c r="B39" s="45"/>
      <c r="C39" s="45"/>
      <c r="D39" s="45"/>
      <c r="E39" s="45"/>
      <c r="F39" s="45"/>
      <c r="G39" s="45"/>
    </row>
    <row r="40" spans="1:7" x14ac:dyDescent="0.2">
      <c r="A40" s="44"/>
      <c r="B40" s="44"/>
      <c r="C40" s="44"/>
      <c r="D40" s="44"/>
      <c r="E40" s="44"/>
      <c r="F40" s="44"/>
      <c r="G40" s="44"/>
    </row>
    <row r="41" spans="1:7" x14ac:dyDescent="0.2">
      <c r="A41" s="45"/>
      <c r="B41" s="45"/>
      <c r="C41" s="45"/>
      <c r="D41" s="45"/>
      <c r="E41" s="45"/>
      <c r="F41" s="45"/>
      <c r="G41" s="45"/>
    </row>
    <row r="42" spans="1:7" x14ac:dyDescent="0.2">
      <c r="A42" s="44"/>
      <c r="B42" s="44"/>
      <c r="C42" s="44"/>
      <c r="D42" s="44"/>
      <c r="E42" s="44"/>
      <c r="F42" s="44"/>
      <c r="G42" s="44"/>
    </row>
    <row r="43" spans="1:7" x14ac:dyDescent="0.2">
      <c r="A43" s="45"/>
      <c r="B43" s="45"/>
      <c r="C43" s="45"/>
      <c r="D43" s="45"/>
      <c r="E43" s="45"/>
      <c r="F43" s="45"/>
      <c r="G43" s="45"/>
    </row>
    <row r="44" spans="1:7" x14ac:dyDescent="0.2">
      <c r="A44" s="44"/>
      <c r="B44" s="44"/>
      <c r="C44" s="44"/>
      <c r="D44" s="44"/>
      <c r="E44" s="44"/>
      <c r="F44" s="44"/>
      <c r="G44" s="44"/>
    </row>
    <row r="45" spans="1:7" x14ac:dyDescent="0.2">
      <c r="A45" s="45"/>
      <c r="B45" s="45"/>
      <c r="C45" s="45"/>
      <c r="D45" s="45"/>
      <c r="E45" s="45"/>
      <c r="F45" s="45"/>
      <c r="G45" s="45"/>
    </row>
    <row r="46" spans="1:7" x14ac:dyDescent="0.2">
      <c r="A46" s="44"/>
      <c r="B46" s="44"/>
      <c r="C46" s="44"/>
      <c r="D46" s="44"/>
      <c r="E46" s="44"/>
      <c r="F46" s="44"/>
      <c r="G46" s="44"/>
    </row>
    <row r="47" spans="1:7" x14ac:dyDescent="0.2">
      <c r="A47" s="45"/>
      <c r="B47" s="45"/>
      <c r="C47" s="45"/>
      <c r="D47" s="45"/>
      <c r="E47" s="45"/>
      <c r="F47" s="45"/>
      <c r="G47" s="45"/>
    </row>
    <row r="48" spans="1:7" x14ac:dyDescent="0.2">
      <c r="A48" s="44"/>
      <c r="B48" s="44"/>
      <c r="C48" s="44"/>
      <c r="D48" s="44"/>
      <c r="E48" s="44"/>
      <c r="F48" s="44"/>
      <c r="G48" s="44"/>
    </row>
    <row r="49" spans="1:7" x14ac:dyDescent="0.2">
      <c r="A49" s="45"/>
      <c r="B49" s="45"/>
      <c r="C49" s="45"/>
      <c r="D49" s="45"/>
      <c r="E49" s="45"/>
      <c r="F49" s="45"/>
      <c r="G49" s="45"/>
    </row>
    <row r="50" spans="1:7" x14ac:dyDescent="0.2">
      <c r="A50" s="44"/>
      <c r="B50" s="44"/>
      <c r="C50" s="44"/>
      <c r="D50" s="44"/>
      <c r="E50" s="44"/>
      <c r="F50" s="44"/>
      <c r="G50" s="44"/>
    </row>
    <row r="51" spans="1:7" x14ac:dyDescent="0.2">
      <c r="A51" s="45"/>
      <c r="B51" s="45"/>
      <c r="C51" s="45"/>
      <c r="D51" s="45"/>
      <c r="E51" s="45"/>
      <c r="F51" s="45"/>
      <c r="G51" s="45"/>
    </row>
    <row r="52" spans="1:7" x14ac:dyDescent="0.2">
      <c r="A52" s="44"/>
      <c r="B52" s="44"/>
      <c r="C52" s="44"/>
      <c r="D52" s="44"/>
      <c r="E52" s="44"/>
      <c r="F52" s="44"/>
      <c r="G52" s="44"/>
    </row>
    <row r="53" spans="1:7" x14ac:dyDescent="0.2">
      <c r="A53" s="45"/>
      <c r="B53" s="45"/>
      <c r="C53" s="45"/>
      <c r="D53" s="45"/>
      <c r="E53" s="45"/>
      <c r="F53" s="45"/>
      <c r="G53" s="45"/>
    </row>
    <row r="54" spans="1:7" x14ac:dyDescent="0.2">
      <c r="A54" s="44"/>
      <c r="B54" s="44"/>
      <c r="C54" s="44"/>
      <c r="D54" s="44"/>
      <c r="E54" s="44"/>
      <c r="F54" s="44"/>
      <c r="G54" s="44"/>
    </row>
    <row r="55" spans="1:7" x14ac:dyDescent="0.2">
      <c r="A55" s="45"/>
      <c r="B55" s="45"/>
      <c r="C55" s="45"/>
      <c r="D55" s="45"/>
      <c r="E55" s="45"/>
      <c r="F55" s="45"/>
      <c r="G55" s="45"/>
    </row>
    <row r="56" spans="1:7" x14ac:dyDescent="0.2">
      <c r="A56" s="44"/>
      <c r="B56" s="44"/>
      <c r="C56" s="44"/>
      <c r="D56" s="44"/>
      <c r="E56" s="44"/>
      <c r="F56" s="44"/>
      <c r="G56" s="44"/>
    </row>
    <row r="57" spans="1:7" x14ac:dyDescent="0.2">
      <c r="A57" s="45"/>
      <c r="B57" s="45"/>
      <c r="C57" s="45"/>
      <c r="D57" s="45"/>
      <c r="E57" s="45"/>
      <c r="F57" s="45"/>
      <c r="G57" s="45"/>
    </row>
    <row r="58" spans="1:7" x14ac:dyDescent="0.2">
      <c r="A58" s="44"/>
      <c r="B58" s="44"/>
      <c r="C58" s="44"/>
      <c r="D58" s="44"/>
      <c r="E58" s="44"/>
      <c r="F58" s="44"/>
      <c r="G58" s="44"/>
    </row>
    <row r="59" spans="1:7" x14ac:dyDescent="0.2">
      <c r="A59" s="45"/>
      <c r="B59" s="45"/>
      <c r="C59" s="45"/>
      <c r="D59" s="45"/>
      <c r="E59" s="45"/>
      <c r="F59" s="45"/>
      <c r="G59" s="45"/>
    </row>
    <row r="60" spans="1:7" x14ac:dyDescent="0.2">
      <c r="A60" s="44"/>
      <c r="B60" s="44"/>
      <c r="C60" s="44"/>
      <c r="D60" s="44"/>
      <c r="E60" s="44"/>
      <c r="F60" s="44"/>
      <c r="G60" s="44"/>
    </row>
    <row r="61" spans="1:7" x14ac:dyDescent="0.2">
      <c r="A61" s="45"/>
      <c r="B61" s="45"/>
      <c r="C61" s="45"/>
      <c r="D61" s="45"/>
      <c r="E61" s="45"/>
      <c r="F61" s="45"/>
      <c r="G61" s="45"/>
    </row>
    <row r="62" spans="1:7" x14ac:dyDescent="0.2">
      <c r="A62" s="44"/>
      <c r="B62" s="44"/>
      <c r="C62" s="44"/>
      <c r="D62" s="44"/>
      <c r="E62" s="44"/>
      <c r="F62" s="44"/>
      <c r="G62" s="44"/>
    </row>
    <row r="63" spans="1:7" x14ac:dyDescent="0.2">
      <c r="A63" s="45"/>
      <c r="B63" s="45"/>
      <c r="C63" s="45"/>
      <c r="D63" s="45"/>
      <c r="E63" s="45"/>
      <c r="F63" s="45"/>
      <c r="G63" s="45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5"/>
      <c r="B65" s="45"/>
      <c r="C65" s="45"/>
      <c r="D65" s="45"/>
      <c r="E65" s="45"/>
      <c r="F65" s="45"/>
      <c r="G65" s="45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5"/>
      <c r="B67" s="45"/>
      <c r="C67" s="45"/>
      <c r="D67" s="45"/>
      <c r="E67" s="45"/>
      <c r="F67" s="45"/>
      <c r="G67" s="45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5"/>
      <c r="B69" s="45"/>
      <c r="C69" s="45"/>
      <c r="D69" s="45"/>
      <c r="E69" s="45"/>
      <c r="F69" s="45"/>
      <c r="G69" s="45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5"/>
      <c r="B71" s="45"/>
      <c r="C71" s="45"/>
      <c r="D71" s="45"/>
      <c r="E71" s="45"/>
      <c r="F71" s="45"/>
      <c r="G71" s="45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5"/>
      <c r="B73" s="45"/>
      <c r="C73" s="45"/>
      <c r="D73" s="45"/>
      <c r="E73" s="45"/>
      <c r="F73" s="45"/>
      <c r="G73" s="45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5"/>
      <c r="B75" s="45"/>
      <c r="C75" s="45"/>
      <c r="D75" s="45"/>
      <c r="E75" s="45"/>
      <c r="F75" s="45"/>
      <c r="G75" s="45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5"/>
      <c r="B77" s="45"/>
      <c r="C77" s="45"/>
      <c r="D77" s="45"/>
      <c r="E77" s="45"/>
      <c r="F77" s="45"/>
      <c r="G77" s="45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5"/>
      <c r="B79" s="45"/>
      <c r="C79" s="45"/>
      <c r="D79" s="45"/>
      <c r="E79" s="45"/>
      <c r="F79" s="45"/>
      <c r="G79" s="45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5"/>
      <c r="B81" s="45"/>
      <c r="C81" s="45"/>
      <c r="D81" s="45"/>
      <c r="E81" s="45"/>
      <c r="F81" s="45"/>
      <c r="G81" s="45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5"/>
      <c r="B83" s="45"/>
      <c r="C83" s="45"/>
      <c r="D83" s="45"/>
      <c r="E83" s="45"/>
      <c r="F83" s="45"/>
      <c r="G83" s="45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5"/>
      <c r="B85" s="45"/>
      <c r="C85" s="45"/>
      <c r="D85" s="45"/>
      <c r="E85" s="45"/>
      <c r="F85" s="45"/>
      <c r="G85" s="45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5"/>
      <c r="B87" s="45"/>
      <c r="C87" s="45"/>
      <c r="D87" s="45"/>
      <c r="E87" s="45"/>
      <c r="F87" s="45"/>
      <c r="G87" s="45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5"/>
      <c r="B89" s="45"/>
      <c r="C89" s="45"/>
      <c r="D89" s="45"/>
      <c r="E89" s="45"/>
      <c r="F89" s="45"/>
      <c r="G89" s="45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5"/>
      <c r="B91" s="45"/>
      <c r="C91" s="45"/>
      <c r="D91" s="45"/>
      <c r="E91" s="45"/>
      <c r="F91" s="45"/>
      <c r="G91" s="45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5"/>
      <c r="B93" s="45"/>
      <c r="C93" s="45"/>
      <c r="D93" s="45"/>
      <c r="E93" s="45"/>
      <c r="F93" s="45"/>
      <c r="G93" s="45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5"/>
      <c r="B95" s="45"/>
      <c r="C95" s="45"/>
      <c r="D95" s="45"/>
      <c r="E95" s="45"/>
      <c r="F95" s="45"/>
      <c r="G95" s="45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5"/>
      <c r="B97" s="45"/>
      <c r="C97" s="45"/>
      <c r="D97" s="45"/>
      <c r="E97" s="45"/>
      <c r="F97" s="45"/>
      <c r="G97" s="45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5"/>
      <c r="B99" s="45"/>
      <c r="C99" s="45"/>
      <c r="D99" s="45"/>
      <c r="E99" s="45"/>
      <c r="F99" s="45"/>
      <c r="G99" s="45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5"/>
      <c r="B101" s="45"/>
      <c r="C101" s="45"/>
      <c r="D101" s="45"/>
      <c r="E101" s="45"/>
      <c r="F101" s="45"/>
      <c r="G101" s="45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5"/>
      <c r="B103" s="45"/>
      <c r="C103" s="45"/>
      <c r="D103" s="45"/>
      <c r="E103" s="45"/>
      <c r="F103" s="45"/>
      <c r="G103" s="45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5"/>
      <c r="B105" s="45"/>
      <c r="C105" s="45"/>
      <c r="D105" s="45"/>
      <c r="E105" s="45"/>
      <c r="F105" s="45"/>
      <c r="G105" s="45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5"/>
      <c r="B107" s="45"/>
      <c r="C107" s="45"/>
      <c r="D107" s="45"/>
      <c r="E107" s="45"/>
      <c r="F107" s="45"/>
      <c r="G107" s="45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5"/>
      <c r="B109" s="45"/>
      <c r="C109" s="45"/>
      <c r="D109" s="45"/>
      <c r="E109" s="45"/>
      <c r="F109" s="45"/>
      <c r="G109" s="45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5"/>
      <c r="B111" s="45"/>
      <c r="C111" s="45"/>
      <c r="D111" s="45"/>
      <c r="E111" s="45"/>
      <c r="F111" s="45"/>
      <c r="G111" s="45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5"/>
      <c r="B113" s="45"/>
      <c r="C113" s="45"/>
      <c r="D113" s="45"/>
      <c r="E113" s="45"/>
      <c r="F113" s="45"/>
      <c r="G113" s="45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5"/>
      <c r="B115" s="45"/>
      <c r="C115" s="45"/>
      <c r="D115" s="45"/>
      <c r="E115" s="45"/>
      <c r="F115" s="45"/>
      <c r="G115" s="45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5"/>
      <c r="B117" s="45"/>
      <c r="C117" s="45"/>
      <c r="D117" s="45"/>
      <c r="E117" s="45"/>
      <c r="F117" s="45"/>
      <c r="G117" s="45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5"/>
      <c r="B119" s="45"/>
      <c r="C119" s="45"/>
      <c r="D119" s="45"/>
      <c r="E119" s="45"/>
      <c r="F119" s="45"/>
      <c r="G119" s="45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5"/>
      <c r="B121" s="45"/>
      <c r="C121" s="45"/>
      <c r="D121" s="45"/>
      <c r="E121" s="45"/>
      <c r="F121" s="45"/>
      <c r="G121" s="45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5"/>
      <c r="B123" s="45"/>
      <c r="C123" s="45"/>
      <c r="D123" s="45"/>
      <c r="E123" s="45"/>
      <c r="F123" s="45"/>
      <c r="G123" s="45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5"/>
      <c r="B125" s="45"/>
      <c r="C125" s="45"/>
      <c r="D125" s="45"/>
      <c r="E125" s="45"/>
      <c r="F125" s="45"/>
      <c r="G125" s="45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5"/>
      <c r="B127" s="45"/>
      <c r="C127" s="45"/>
      <c r="D127" s="45"/>
      <c r="E127" s="45"/>
      <c r="F127" s="45"/>
      <c r="G127" s="45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5"/>
      <c r="B129" s="45"/>
      <c r="C129" s="45"/>
      <c r="D129" s="45"/>
      <c r="E129" s="45"/>
      <c r="F129" s="45"/>
      <c r="G129" s="45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5"/>
      <c r="B131" s="45"/>
      <c r="C131" s="45"/>
      <c r="D131" s="45"/>
      <c r="E131" s="45"/>
      <c r="F131" s="45"/>
      <c r="G131" s="45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5"/>
      <c r="B133" s="45"/>
      <c r="C133" s="45"/>
      <c r="D133" s="45"/>
      <c r="E133" s="45"/>
      <c r="F133" s="45"/>
      <c r="G133" s="45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5"/>
      <c r="B135" s="45"/>
      <c r="C135" s="45"/>
      <c r="D135" s="45"/>
      <c r="E135" s="45"/>
      <c r="F135" s="45"/>
      <c r="G135" s="45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5"/>
      <c r="B137" s="45"/>
      <c r="C137" s="45"/>
      <c r="D137" s="45"/>
      <c r="E137" s="45"/>
      <c r="F137" s="45"/>
      <c r="G137" s="45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5"/>
      <c r="B139" s="45"/>
      <c r="C139" s="45"/>
      <c r="D139" s="45"/>
      <c r="E139" s="45"/>
      <c r="F139" s="45"/>
      <c r="G139" s="45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5"/>
      <c r="B141" s="45"/>
      <c r="C141" s="45"/>
      <c r="D141" s="45"/>
      <c r="E141" s="45"/>
      <c r="F141" s="45"/>
      <c r="G141" s="45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5"/>
      <c r="B143" s="45"/>
      <c r="C143" s="45"/>
      <c r="D143" s="45"/>
      <c r="E143" s="45"/>
      <c r="F143" s="45"/>
      <c r="G143" s="45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5"/>
      <c r="B145" s="45"/>
      <c r="C145" s="45"/>
      <c r="D145" s="45"/>
      <c r="E145" s="45"/>
      <c r="F145" s="45"/>
      <c r="G145" s="45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5"/>
      <c r="B147" s="45"/>
      <c r="C147" s="45"/>
      <c r="D147" s="45"/>
      <c r="E147" s="45"/>
      <c r="F147" s="45"/>
      <c r="G147" s="45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5"/>
      <c r="B149" s="45"/>
      <c r="C149" s="45"/>
      <c r="D149" s="45"/>
      <c r="E149" s="45"/>
      <c r="F149" s="45"/>
      <c r="G149" s="45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5"/>
      <c r="B151" s="45"/>
      <c r="C151" s="45"/>
      <c r="D151" s="45"/>
      <c r="E151" s="45"/>
      <c r="F151" s="45"/>
      <c r="G151" s="45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5"/>
      <c r="B153" s="45"/>
      <c r="C153" s="45"/>
      <c r="D153" s="45"/>
      <c r="E153" s="45"/>
      <c r="F153" s="45"/>
      <c r="G153" s="45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5"/>
      <c r="B155" s="45"/>
      <c r="C155" s="45"/>
      <c r="D155" s="45"/>
      <c r="E155" s="45"/>
      <c r="F155" s="45"/>
      <c r="G155" s="45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5"/>
      <c r="B157" s="45"/>
      <c r="C157" s="45"/>
      <c r="D157" s="45"/>
      <c r="E157" s="45"/>
      <c r="F157" s="45"/>
      <c r="G157" s="45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5"/>
      <c r="B159" s="45"/>
      <c r="C159" s="45"/>
      <c r="D159" s="45"/>
      <c r="E159" s="45"/>
      <c r="F159" s="45"/>
      <c r="G159" s="45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5"/>
      <c r="B161" s="45"/>
      <c r="C161" s="45"/>
      <c r="D161" s="45"/>
      <c r="E161" s="45"/>
      <c r="F161" s="45"/>
      <c r="G161" s="45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5"/>
      <c r="B163" s="45"/>
      <c r="C163" s="45"/>
      <c r="D163" s="45"/>
      <c r="E163" s="45"/>
      <c r="F163" s="45"/>
      <c r="G163" s="45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5"/>
      <c r="B165" s="45"/>
      <c r="C165" s="45"/>
      <c r="D165" s="45"/>
      <c r="E165" s="45"/>
      <c r="F165" s="45"/>
      <c r="G165" s="45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5"/>
      <c r="B167" s="45"/>
      <c r="C167" s="45"/>
      <c r="D167" s="45"/>
      <c r="E167" s="45"/>
      <c r="F167" s="45"/>
      <c r="G167" s="45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5"/>
      <c r="B169" s="45"/>
      <c r="C169" s="45"/>
      <c r="D169" s="45"/>
      <c r="E169" s="45"/>
      <c r="F169" s="45"/>
      <c r="G169" s="45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5"/>
      <c r="B171" s="45"/>
      <c r="C171" s="45"/>
      <c r="D171" s="45"/>
      <c r="E171" s="45"/>
      <c r="F171" s="45"/>
      <c r="G171" s="45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5"/>
      <c r="B173" s="45"/>
      <c r="C173" s="45"/>
      <c r="D173" s="45"/>
      <c r="E173" s="45"/>
      <c r="F173" s="45"/>
      <c r="G173" s="45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5"/>
      <c r="B175" s="45"/>
      <c r="C175" s="45"/>
      <c r="D175" s="45"/>
      <c r="E175" s="45"/>
      <c r="F175" s="45"/>
      <c r="G175" s="45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5"/>
      <c r="B177" s="45"/>
      <c r="C177" s="45"/>
      <c r="D177" s="45"/>
      <c r="E177" s="45"/>
      <c r="F177" s="45"/>
      <c r="G177" s="45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5"/>
      <c r="B179" s="45"/>
      <c r="C179" s="45"/>
      <c r="D179" s="45"/>
      <c r="E179" s="45"/>
      <c r="F179" s="45"/>
      <c r="G179" s="45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5"/>
      <c r="B181" s="45"/>
      <c r="C181" s="45"/>
      <c r="D181" s="45"/>
      <c r="E181" s="45"/>
      <c r="F181" s="45"/>
      <c r="G181" s="45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5"/>
      <c r="B183" s="45"/>
      <c r="C183" s="45"/>
      <c r="D183" s="45"/>
      <c r="E183" s="45"/>
      <c r="F183" s="45"/>
      <c r="G183" s="45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5"/>
      <c r="B185" s="45"/>
      <c r="C185" s="45"/>
      <c r="D185" s="45"/>
      <c r="E185" s="45"/>
      <c r="F185" s="45"/>
      <c r="G185" s="45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5"/>
      <c r="B187" s="45"/>
      <c r="C187" s="45"/>
      <c r="D187" s="45"/>
      <c r="E187" s="45"/>
      <c r="F187" s="45"/>
      <c r="G187" s="45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5"/>
      <c r="B189" s="45"/>
      <c r="C189" s="45"/>
      <c r="D189" s="45"/>
      <c r="E189" s="45"/>
      <c r="F189" s="45"/>
      <c r="G189" s="45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5"/>
      <c r="B191" s="45"/>
      <c r="C191" s="45"/>
      <c r="D191" s="45"/>
      <c r="E191" s="45"/>
      <c r="F191" s="45"/>
      <c r="G191" s="45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5"/>
      <c r="B193" s="45"/>
      <c r="C193" s="45"/>
      <c r="D193" s="45"/>
      <c r="E193" s="45"/>
      <c r="F193" s="45"/>
      <c r="G193" s="45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5"/>
      <c r="B195" s="45"/>
      <c r="C195" s="45"/>
      <c r="D195" s="45"/>
      <c r="E195" s="45"/>
      <c r="F195" s="45"/>
      <c r="G195" s="45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5"/>
      <c r="B197" s="45"/>
      <c r="C197" s="45"/>
      <c r="D197" s="45"/>
      <c r="E197" s="45"/>
      <c r="F197" s="45"/>
      <c r="G197" s="45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5"/>
      <c r="B199" s="45"/>
      <c r="C199" s="45"/>
      <c r="D199" s="45"/>
      <c r="E199" s="45"/>
      <c r="F199" s="45"/>
      <c r="G199" s="45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5"/>
      <c r="B201" s="45"/>
      <c r="C201" s="45"/>
      <c r="D201" s="45"/>
      <c r="E201" s="45"/>
      <c r="F201" s="45"/>
      <c r="G201" s="45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5"/>
      <c r="B203" s="45"/>
      <c r="C203" s="45"/>
      <c r="D203" s="45"/>
      <c r="E203" s="45"/>
      <c r="F203" s="45"/>
      <c r="G203" s="45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5"/>
      <c r="B205" s="45"/>
      <c r="C205" s="45"/>
      <c r="D205" s="45"/>
      <c r="E205" s="45"/>
      <c r="F205" s="45"/>
      <c r="G205" s="45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5"/>
      <c r="B207" s="45"/>
      <c r="C207" s="45"/>
      <c r="D207" s="45"/>
      <c r="E207" s="45"/>
      <c r="F207" s="45"/>
      <c r="G207" s="45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5"/>
      <c r="B209" s="45"/>
      <c r="C209" s="45"/>
      <c r="D209" s="45"/>
      <c r="E209" s="45"/>
      <c r="F209" s="45"/>
      <c r="G209" s="45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5"/>
      <c r="B211" s="45"/>
      <c r="C211" s="45"/>
      <c r="D211" s="45"/>
      <c r="E211" s="45"/>
      <c r="F211" s="45"/>
      <c r="G211" s="45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5"/>
      <c r="B213" s="45"/>
      <c r="C213" s="45"/>
      <c r="D213" s="45"/>
      <c r="E213" s="45"/>
      <c r="F213" s="45"/>
      <c r="G213" s="45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5"/>
      <c r="B215" s="45"/>
      <c r="C215" s="45"/>
      <c r="D215" s="45"/>
      <c r="E215" s="45"/>
      <c r="F215" s="45"/>
      <c r="G215" s="45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5"/>
      <c r="B217" s="45"/>
      <c r="C217" s="45"/>
      <c r="D217" s="45"/>
      <c r="E217" s="45"/>
      <c r="F217" s="45"/>
      <c r="G217" s="45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5"/>
      <c r="B219" s="45"/>
      <c r="C219" s="45"/>
      <c r="D219" s="45"/>
      <c r="E219" s="45"/>
      <c r="F219" s="45"/>
      <c r="G219" s="45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5"/>
      <c r="B221" s="45"/>
      <c r="C221" s="45"/>
      <c r="D221" s="45"/>
      <c r="E221" s="45"/>
      <c r="F221" s="45"/>
      <c r="G221" s="45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5"/>
      <c r="B223" s="45"/>
      <c r="C223" s="45"/>
      <c r="D223" s="45"/>
      <c r="E223" s="45"/>
      <c r="F223" s="45"/>
      <c r="G223" s="45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5"/>
      <c r="B225" s="45"/>
      <c r="C225" s="45"/>
      <c r="D225" s="45"/>
      <c r="E225" s="45"/>
      <c r="F225" s="45"/>
      <c r="G225" s="45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5"/>
      <c r="B227" s="45"/>
      <c r="C227" s="45"/>
      <c r="D227" s="45"/>
      <c r="E227" s="45"/>
      <c r="F227" s="45"/>
      <c r="G227" s="45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5"/>
      <c r="B229" s="45"/>
      <c r="C229" s="45"/>
      <c r="D229" s="45"/>
      <c r="E229" s="45"/>
      <c r="F229" s="45"/>
      <c r="G229" s="45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5"/>
      <c r="B231" s="45"/>
      <c r="C231" s="45"/>
      <c r="D231" s="45"/>
      <c r="E231" s="45"/>
      <c r="F231" s="45"/>
      <c r="G231" s="45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5"/>
      <c r="B233" s="45"/>
      <c r="C233" s="45"/>
      <c r="D233" s="45"/>
      <c r="E233" s="45"/>
      <c r="F233" s="45"/>
      <c r="G233" s="45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5"/>
      <c r="B235" s="45"/>
      <c r="C235" s="45"/>
      <c r="D235" s="45"/>
      <c r="E235" s="45"/>
      <c r="F235" s="45"/>
      <c r="G235" s="45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5"/>
      <c r="B237" s="45"/>
      <c r="C237" s="45"/>
      <c r="D237" s="45"/>
      <c r="E237" s="45"/>
      <c r="F237" s="45"/>
      <c r="G237" s="45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5"/>
      <c r="B239" s="45"/>
      <c r="C239" s="45"/>
      <c r="D239" s="45"/>
      <c r="E239" s="45"/>
      <c r="F239" s="45"/>
      <c r="G239" s="45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5"/>
      <c r="B241" s="45"/>
      <c r="C241" s="45"/>
      <c r="D241" s="45"/>
      <c r="E241" s="45"/>
      <c r="F241" s="45"/>
      <c r="G241" s="45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5"/>
      <c r="B243" s="45"/>
      <c r="C243" s="45"/>
      <c r="D243" s="45"/>
      <c r="E243" s="45"/>
      <c r="F243" s="45"/>
      <c r="G243" s="45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5"/>
      <c r="B245" s="45"/>
      <c r="C245" s="45"/>
      <c r="D245" s="45"/>
      <c r="E245" s="45"/>
      <c r="F245" s="45"/>
      <c r="G245" s="45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5"/>
      <c r="B247" s="45"/>
      <c r="C247" s="45"/>
      <c r="D247" s="45"/>
      <c r="E247" s="45"/>
      <c r="F247" s="45"/>
      <c r="G247" s="45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5"/>
      <c r="B249" s="45"/>
      <c r="C249" s="45"/>
      <c r="D249" s="45"/>
      <c r="E249" s="45"/>
      <c r="F249" s="45"/>
      <c r="G249" s="45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5"/>
      <c r="B251" s="45"/>
      <c r="C251" s="45"/>
      <c r="D251" s="45"/>
      <c r="E251" s="45"/>
      <c r="F251" s="45"/>
      <c r="G251" s="45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5"/>
      <c r="B253" s="45"/>
      <c r="C253" s="45"/>
      <c r="D253" s="45"/>
      <c r="E253" s="45"/>
      <c r="F253" s="45"/>
      <c r="G253" s="45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5"/>
      <c r="B255" s="45"/>
      <c r="C255" s="45"/>
      <c r="D255" s="45"/>
      <c r="E255" s="45"/>
      <c r="F255" s="45"/>
      <c r="G255" s="45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5"/>
      <c r="B297" s="45"/>
      <c r="C297" s="45"/>
      <c r="D297" s="45"/>
      <c r="E297" s="45"/>
      <c r="F297" s="45"/>
      <c r="G297" s="45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5"/>
      <c r="B299" s="45"/>
      <c r="C299" s="45"/>
      <c r="D299" s="45"/>
      <c r="E299" s="45"/>
      <c r="F299" s="45"/>
      <c r="G299" s="45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5"/>
      <c r="B301" s="45"/>
      <c r="C301" s="45"/>
      <c r="D301" s="45"/>
      <c r="E301" s="45"/>
      <c r="F301" s="45"/>
      <c r="G301" s="45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5"/>
      <c r="B303" s="45"/>
      <c r="C303" s="45"/>
      <c r="D303" s="45"/>
      <c r="E303" s="45"/>
      <c r="F303" s="45"/>
      <c r="G303" s="45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5"/>
      <c r="B305" s="45"/>
      <c r="C305" s="45"/>
      <c r="D305" s="45"/>
      <c r="E305" s="45"/>
      <c r="F305" s="45"/>
      <c r="G305" s="45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5"/>
      <c r="B307" s="45"/>
      <c r="C307" s="45"/>
      <c r="D307" s="45"/>
      <c r="E307" s="45"/>
      <c r="F307" s="45"/>
      <c r="G307" s="45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5"/>
      <c r="B309" s="45"/>
      <c r="C309" s="45"/>
      <c r="D309" s="45"/>
      <c r="E309" s="45"/>
      <c r="F309" s="45"/>
      <c r="G309" s="45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5"/>
      <c r="B311" s="45"/>
      <c r="C311" s="45"/>
      <c r="D311" s="45"/>
      <c r="E311" s="45"/>
      <c r="F311" s="45"/>
      <c r="G311" s="45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5"/>
      <c r="B313" s="45"/>
      <c r="C313" s="45"/>
      <c r="D313" s="45"/>
      <c r="E313" s="45"/>
      <c r="F313" s="45"/>
      <c r="G313" s="45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5"/>
      <c r="B315" s="45"/>
      <c r="C315" s="45"/>
      <c r="D315" s="45"/>
      <c r="E315" s="45"/>
      <c r="F315" s="45"/>
      <c r="G315" s="45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5"/>
      <c r="B317" s="45"/>
      <c r="C317" s="45"/>
      <c r="D317" s="45"/>
      <c r="E317" s="45"/>
      <c r="F317" s="45"/>
      <c r="G317" s="45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5"/>
      <c r="B319" s="45"/>
      <c r="C319" s="45"/>
      <c r="D319" s="45"/>
      <c r="E319" s="45"/>
      <c r="F319" s="45"/>
      <c r="G319" s="45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5"/>
      <c r="B321" s="45"/>
      <c r="C321" s="45"/>
      <c r="D321" s="45"/>
      <c r="E321" s="45"/>
      <c r="F321" s="45"/>
      <c r="G321" s="45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5"/>
      <c r="B323" s="45"/>
      <c r="C323" s="45"/>
      <c r="D323" s="45"/>
      <c r="E323" s="45"/>
      <c r="F323" s="45"/>
      <c r="G323" s="45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5"/>
      <c r="B325" s="45"/>
      <c r="C325" s="45"/>
      <c r="D325" s="45"/>
      <c r="E325" s="45"/>
      <c r="F325" s="45"/>
      <c r="G325" s="45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5"/>
      <c r="B327" s="45"/>
      <c r="C327" s="45"/>
      <c r="D327" s="45"/>
      <c r="E327" s="45"/>
      <c r="F327" s="45"/>
      <c r="G327" s="45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5"/>
      <c r="B329" s="45"/>
      <c r="C329" s="45"/>
      <c r="D329" s="45"/>
      <c r="E329" s="45"/>
      <c r="F329" s="45"/>
      <c r="G329" s="45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5"/>
      <c r="B331" s="45"/>
      <c r="C331" s="45"/>
      <c r="D331" s="45"/>
      <c r="E331" s="45"/>
      <c r="F331" s="45"/>
      <c r="G331" s="45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5"/>
      <c r="B333" s="45"/>
      <c r="C333" s="45"/>
      <c r="D333" s="45"/>
      <c r="E333" s="45"/>
      <c r="F333" s="45"/>
      <c r="G333" s="45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5"/>
      <c r="B335" s="45"/>
      <c r="C335" s="45"/>
      <c r="D335" s="45"/>
      <c r="E335" s="45"/>
      <c r="F335" s="45"/>
      <c r="G335" s="45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5"/>
      <c r="B337" s="45"/>
      <c r="C337" s="45"/>
      <c r="D337" s="45"/>
      <c r="E337" s="45"/>
      <c r="F337" s="45"/>
      <c r="G337" s="45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5"/>
      <c r="B339" s="45"/>
      <c r="C339" s="45"/>
      <c r="D339" s="45"/>
      <c r="E339" s="45"/>
      <c r="F339" s="45"/>
      <c r="G339" s="45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5"/>
      <c r="B341" s="45"/>
      <c r="C341" s="45"/>
      <c r="D341" s="45"/>
      <c r="E341" s="45"/>
      <c r="F341" s="45"/>
      <c r="G341" s="45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5"/>
      <c r="B343" s="45"/>
      <c r="C343" s="45"/>
      <c r="D343" s="45"/>
      <c r="E343" s="45"/>
      <c r="F343" s="45"/>
      <c r="G343" s="45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5"/>
      <c r="B345" s="45"/>
      <c r="C345" s="45"/>
      <c r="D345" s="45"/>
      <c r="E345" s="45"/>
      <c r="F345" s="45"/>
      <c r="G345" s="45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5"/>
      <c r="B347" s="45"/>
      <c r="C347" s="45"/>
      <c r="D347" s="45"/>
      <c r="E347" s="45"/>
      <c r="F347" s="45"/>
      <c r="G347" s="45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5"/>
      <c r="B349" s="45"/>
      <c r="C349" s="45"/>
      <c r="D349" s="45"/>
      <c r="E349" s="45"/>
      <c r="F349" s="45"/>
      <c r="G349" s="45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5"/>
      <c r="B351" s="45"/>
      <c r="C351" s="45"/>
      <c r="D351" s="45"/>
      <c r="E351" s="45"/>
      <c r="F351" s="45"/>
      <c r="G351" s="45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5"/>
      <c r="B353" s="45"/>
      <c r="C353" s="45"/>
      <c r="D353" s="45"/>
      <c r="E353" s="45"/>
      <c r="F353" s="45"/>
      <c r="G353" s="45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5"/>
      <c r="B355" s="45"/>
      <c r="C355" s="45"/>
      <c r="D355" s="45"/>
      <c r="E355" s="45"/>
      <c r="F355" s="45"/>
      <c r="G355" s="45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5"/>
      <c r="B357" s="45"/>
      <c r="C357" s="45"/>
      <c r="D357" s="45"/>
      <c r="E357" s="45"/>
      <c r="F357" s="45"/>
      <c r="G357" s="45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5"/>
      <c r="B359" s="45"/>
      <c r="C359" s="45"/>
      <c r="D359" s="45"/>
      <c r="E359" s="45"/>
      <c r="F359" s="45"/>
      <c r="G359" s="45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5"/>
      <c r="B361" s="45"/>
      <c r="C361" s="45"/>
      <c r="D361" s="45"/>
      <c r="E361" s="45"/>
      <c r="F361" s="45"/>
      <c r="G361" s="45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5"/>
      <c r="B363" s="45"/>
      <c r="C363" s="45"/>
      <c r="D363" s="45"/>
      <c r="E363" s="45"/>
      <c r="F363" s="45"/>
      <c r="G363" s="45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5"/>
      <c r="B365" s="45"/>
      <c r="C365" s="45"/>
      <c r="D365" s="45"/>
      <c r="E365" s="45"/>
      <c r="F365" s="45"/>
      <c r="G365" s="45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5"/>
      <c r="B367" s="45"/>
      <c r="C367" s="45"/>
      <c r="D367" s="45"/>
      <c r="E367" s="45"/>
      <c r="F367" s="45"/>
      <c r="G367" s="45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5"/>
      <c r="B369" s="45"/>
      <c r="C369" s="45"/>
      <c r="D369" s="45"/>
      <c r="E369" s="45"/>
      <c r="F369" s="45"/>
      <c r="G369" s="45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5"/>
      <c r="B371" s="45"/>
      <c r="C371" s="45"/>
      <c r="D371" s="45"/>
      <c r="E371" s="45"/>
      <c r="F371" s="45"/>
      <c r="G371" s="45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5"/>
      <c r="B373" s="45"/>
      <c r="C373" s="45"/>
      <c r="D373" s="45"/>
      <c r="E373" s="45"/>
      <c r="F373" s="45"/>
      <c r="G373" s="45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5"/>
      <c r="B375" s="45"/>
      <c r="C375" s="45"/>
      <c r="D375" s="45"/>
      <c r="E375" s="45"/>
      <c r="F375" s="45"/>
      <c r="G375" s="45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5"/>
      <c r="B377" s="45"/>
      <c r="C377" s="45"/>
      <c r="D377" s="45"/>
      <c r="E377" s="45"/>
      <c r="F377" s="45"/>
      <c r="G377" s="45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5"/>
      <c r="B379" s="45"/>
      <c r="C379" s="45"/>
      <c r="D379" s="45"/>
      <c r="E379" s="45"/>
      <c r="F379" s="45"/>
      <c r="G379" s="45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5"/>
      <c r="B381" s="45"/>
      <c r="C381" s="45"/>
      <c r="D381" s="45"/>
      <c r="E381" s="45"/>
      <c r="F381" s="45"/>
      <c r="G381" s="45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5"/>
      <c r="B383" s="45"/>
      <c r="C383" s="45"/>
      <c r="D383" s="45"/>
      <c r="E383" s="45"/>
      <c r="F383" s="45"/>
      <c r="G383" s="45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5"/>
      <c r="B385" s="45"/>
      <c r="C385" s="45"/>
      <c r="D385" s="45"/>
      <c r="E385" s="45"/>
      <c r="F385" s="45"/>
      <c r="G385" s="45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5"/>
      <c r="B387" s="45"/>
      <c r="C387" s="45"/>
      <c r="D387" s="45"/>
      <c r="E387" s="45"/>
      <c r="F387" s="45"/>
      <c r="G387" s="45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5"/>
      <c r="B389" s="45"/>
      <c r="C389" s="45"/>
      <c r="D389" s="45"/>
      <c r="E389" s="45"/>
      <c r="F389" s="45"/>
      <c r="G389" s="45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5"/>
      <c r="B391" s="45"/>
      <c r="C391" s="45"/>
      <c r="D391" s="45"/>
      <c r="E391" s="45"/>
      <c r="F391" s="45"/>
      <c r="G391" s="45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5"/>
      <c r="B393" s="45"/>
      <c r="C393" s="45"/>
      <c r="D393" s="45"/>
      <c r="E393" s="45"/>
      <c r="F393" s="45"/>
      <c r="G393" s="45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5"/>
      <c r="B395" s="45"/>
      <c r="C395" s="45"/>
      <c r="D395" s="45"/>
      <c r="E395" s="45"/>
      <c r="F395" s="45"/>
      <c r="G395" s="45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5"/>
      <c r="B397" s="45"/>
      <c r="C397" s="45"/>
      <c r="D397" s="45"/>
      <c r="E397" s="45"/>
      <c r="F397" s="45"/>
      <c r="G397" s="45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5"/>
      <c r="B399" s="45"/>
      <c r="C399" s="45"/>
      <c r="D399" s="45"/>
      <c r="E399" s="45"/>
      <c r="F399" s="45"/>
      <c r="G399" s="45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5"/>
      <c r="B401" s="45"/>
      <c r="C401" s="45"/>
      <c r="D401" s="45"/>
      <c r="E401" s="45"/>
      <c r="F401" s="45"/>
      <c r="G401" s="45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5"/>
      <c r="B403" s="45"/>
      <c r="C403" s="45"/>
      <c r="D403" s="45"/>
      <c r="E403" s="45"/>
      <c r="F403" s="45"/>
      <c r="G403" s="45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5"/>
      <c r="B405" s="45"/>
      <c r="C405" s="45"/>
      <c r="D405" s="45"/>
      <c r="E405" s="45"/>
      <c r="F405" s="45"/>
      <c r="G405" s="45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5"/>
      <c r="B407" s="45"/>
      <c r="C407" s="45"/>
      <c r="D407" s="45"/>
      <c r="E407" s="45"/>
      <c r="F407" s="45"/>
      <c r="G407" s="45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5"/>
      <c r="B409" s="45"/>
      <c r="C409" s="45"/>
      <c r="D409" s="45"/>
      <c r="E409" s="45"/>
      <c r="F409" s="45"/>
      <c r="G409" s="45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5"/>
      <c r="B411" s="45"/>
      <c r="C411" s="45"/>
      <c r="D411" s="45"/>
      <c r="E411" s="45"/>
      <c r="F411" s="45"/>
      <c r="G411" s="45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5"/>
      <c r="B413" s="45"/>
      <c r="C413" s="45"/>
      <c r="D413" s="45"/>
      <c r="E413" s="45"/>
      <c r="F413" s="45"/>
      <c r="G413" s="45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5"/>
      <c r="B415" s="45"/>
      <c r="C415" s="45"/>
      <c r="D415" s="45"/>
      <c r="E415" s="45"/>
      <c r="F415" s="45"/>
      <c r="G415" s="45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5"/>
      <c r="B417" s="45"/>
      <c r="C417" s="45"/>
      <c r="D417" s="45"/>
      <c r="E417" s="45"/>
      <c r="F417" s="45"/>
      <c r="G417" s="45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5"/>
      <c r="B419" s="45"/>
      <c r="C419" s="45"/>
      <c r="D419" s="45"/>
      <c r="E419" s="45"/>
      <c r="F419" s="45"/>
      <c r="G419" s="45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5"/>
      <c r="B421" s="45"/>
      <c r="C421" s="45"/>
      <c r="D421" s="45"/>
      <c r="E421" s="45"/>
      <c r="F421" s="45"/>
      <c r="G421" s="45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5"/>
      <c r="B423" s="45"/>
      <c r="C423" s="45"/>
      <c r="D423" s="45"/>
      <c r="E423" s="45"/>
      <c r="F423" s="45"/>
      <c r="G423" s="45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5"/>
      <c r="B425" s="45"/>
      <c r="C425" s="45"/>
      <c r="D425" s="45"/>
      <c r="E425" s="45"/>
      <c r="F425" s="45"/>
      <c r="G425" s="45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5"/>
      <c r="B427" s="45"/>
      <c r="C427" s="45"/>
      <c r="D427" s="45"/>
      <c r="E427" s="45"/>
      <c r="F427" s="45"/>
      <c r="G427" s="45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5"/>
      <c r="B429" s="45"/>
      <c r="C429" s="45"/>
      <c r="D429" s="45"/>
      <c r="E429" s="45"/>
      <c r="F429" s="45"/>
      <c r="G429" s="45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5"/>
      <c r="B431" s="45"/>
      <c r="C431" s="45"/>
      <c r="D431" s="45"/>
      <c r="E431" s="45"/>
      <c r="F431" s="45"/>
      <c r="G431" s="45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5"/>
      <c r="B433" s="45"/>
      <c r="C433" s="45"/>
      <c r="D433" s="45"/>
      <c r="E433" s="45"/>
      <c r="F433" s="45"/>
      <c r="G433" s="45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5"/>
      <c r="B435" s="45"/>
      <c r="C435" s="45"/>
      <c r="D435" s="45"/>
      <c r="E435" s="45"/>
      <c r="F435" s="45"/>
      <c r="G435" s="45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5"/>
      <c r="B437" s="45"/>
      <c r="C437" s="45"/>
      <c r="D437" s="45"/>
      <c r="E437" s="45"/>
      <c r="F437" s="45"/>
      <c r="G437" s="45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5"/>
      <c r="B439" s="45"/>
      <c r="C439" s="45"/>
      <c r="D439" s="45"/>
      <c r="E439" s="45"/>
      <c r="F439" s="45"/>
      <c r="G439" s="45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5"/>
      <c r="B441" s="45"/>
      <c r="C441" s="45"/>
      <c r="D441" s="45"/>
      <c r="E441" s="45"/>
      <c r="F441" s="45"/>
      <c r="G441" s="45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5"/>
      <c r="B443" s="45"/>
      <c r="C443" s="45"/>
      <c r="D443" s="45"/>
      <c r="E443" s="45"/>
      <c r="F443" s="45"/>
      <c r="G443" s="45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5"/>
      <c r="B445" s="45"/>
      <c r="C445" s="45"/>
      <c r="D445" s="45"/>
      <c r="E445" s="45"/>
      <c r="F445" s="45"/>
      <c r="G445" s="45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5"/>
      <c r="B447" s="45"/>
      <c r="C447" s="45"/>
      <c r="D447" s="45"/>
      <c r="E447" s="45"/>
      <c r="F447" s="45"/>
      <c r="G447" s="45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5"/>
      <c r="B449" s="45"/>
      <c r="C449" s="45"/>
      <c r="D449" s="45"/>
      <c r="E449" s="45"/>
      <c r="F449" s="45"/>
      <c r="G449" s="45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5"/>
      <c r="B451" s="45"/>
      <c r="C451" s="45"/>
      <c r="D451" s="45"/>
      <c r="E451" s="45"/>
      <c r="F451" s="45"/>
      <c r="G451" s="45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5"/>
      <c r="B453" s="45"/>
      <c r="C453" s="45"/>
      <c r="D453" s="45"/>
      <c r="E453" s="45"/>
      <c r="F453" s="45"/>
      <c r="G453" s="45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5"/>
      <c r="B455" s="45"/>
      <c r="C455" s="45"/>
      <c r="D455" s="45"/>
      <c r="E455" s="45"/>
      <c r="F455" s="45"/>
      <c r="G455" s="45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5"/>
      <c r="B457" s="45"/>
      <c r="C457" s="45"/>
      <c r="D457" s="45"/>
      <c r="E457" s="45"/>
      <c r="F457" s="45"/>
      <c r="G457" s="45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5"/>
      <c r="B459" s="45"/>
      <c r="C459" s="45"/>
      <c r="D459" s="45"/>
      <c r="E459" s="45"/>
      <c r="F459" s="45"/>
      <c r="G459" s="45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5"/>
      <c r="B461" s="45"/>
      <c r="C461" s="45"/>
      <c r="D461" s="45"/>
      <c r="E461" s="45"/>
      <c r="F461" s="45"/>
      <c r="G461" s="45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5"/>
      <c r="B463" s="45"/>
      <c r="C463" s="45"/>
      <c r="D463" s="45"/>
      <c r="E463" s="45"/>
      <c r="F463" s="45"/>
      <c r="G463" s="45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5"/>
      <c r="B465" s="45"/>
      <c r="C465" s="45"/>
      <c r="D465" s="45"/>
      <c r="E465" s="45"/>
      <c r="F465" s="45"/>
      <c r="G465" s="45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5"/>
      <c r="B467" s="45"/>
      <c r="C467" s="45"/>
      <c r="D467" s="45"/>
      <c r="E467" s="45"/>
      <c r="F467" s="45"/>
      <c r="G467" s="45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5"/>
      <c r="B469" s="45"/>
      <c r="C469" s="45"/>
      <c r="D469" s="45"/>
      <c r="E469" s="45"/>
      <c r="F469" s="45"/>
      <c r="G469" s="45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5"/>
      <c r="B471" s="45"/>
      <c r="C471" s="45"/>
      <c r="D471" s="45"/>
      <c r="E471" s="45"/>
      <c r="F471" s="45"/>
      <c r="G471" s="45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5"/>
      <c r="B473" s="45"/>
      <c r="C473" s="45"/>
      <c r="D473" s="45"/>
      <c r="E473" s="45"/>
      <c r="F473" s="45"/>
      <c r="G473" s="45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5"/>
      <c r="B475" s="45"/>
      <c r="C475" s="45"/>
      <c r="D475" s="45"/>
      <c r="E475" s="45"/>
      <c r="F475" s="45"/>
      <c r="G475" s="45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5"/>
      <c r="B477" s="45"/>
      <c r="C477" s="45"/>
      <c r="D477" s="45"/>
      <c r="E477" s="45"/>
      <c r="F477" s="45"/>
      <c r="G477" s="45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5"/>
      <c r="B479" s="45"/>
      <c r="C479" s="45"/>
      <c r="D479" s="45"/>
      <c r="E479" s="45"/>
      <c r="F479" s="45"/>
      <c r="G479" s="45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5"/>
      <c r="B481" s="45"/>
      <c r="C481" s="45"/>
      <c r="D481" s="45"/>
      <c r="E481" s="45"/>
      <c r="F481" s="45"/>
      <c r="G481" s="45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5"/>
      <c r="B483" s="45"/>
      <c r="C483" s="45"/>
      <c r="D483" s="45"/>
      <c r="E483" s="45"/>
      <c r="F483" s="45"/>
      <c r="G483" s="45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5"/>
      <c r="B485" s="45"/>
      <c r="C485" s="45"/>
      <c r="D485" s="45"/>
      <c r="E485" s="45"/>
      <c r="F485" s="45"/>
      <c r="G485" s="45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5"/>
      <c r="B487" s="45"/>
      <c r="C487" s="45"/>
      <c r="D487" s="45"/>
      <c r="E487" s="45"/>
      <c r="F487" s="45"/>
      <c r="G487" s="45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5"/>
      <c r="B489" s="45"/>
      <c r="C489" s="45"/>
      <c r="D489" s="45"/>
      <c r="E489" s="45"/>
      <c r="F489" s="45"/>
      <c r="G489" s="45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5"/>
      <c r="B491" s="45"/>
      <c r="C491" s="45"/>
      <c r="D491" s="45"/>
      <c r="E491" s="45"/>
      <c r="F491" s="45"/>
      <c r="G491" s="45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5"/>
      <c r="B493" s="45"/>
      <c r="C493" s="45"/>
      <c r="D493" s="45"/>
      <c r="E493" s="45"/>
      <c r="F493" s="45"/>
      <c r="G493" s="45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5"/>
      <c r="B495" s="45"/>
      <c r="C495" s="45"/>
      <c r="D495" s="45"/>
      <c r="E495" s="45"/>
      <c r="F495" s="45"/>
      <c r="G495" s="45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5"/>
      <c r="B497" s="45"/>
      <c r="C497" s="45"/>
      <c r="D497" s="45"/>
      <c r="E497" s="45"/>
      <c r="F497" s="45"/>
      <c r="G497" s="45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5"/>
      <c r="B499" s="45"/>
      <c r="C499" s="45"/>
      <c r="D499" s="45"/>
      <c r="E499" s="45"/>
      <c r="F499" s="45"/>
      <c r="G499" s="45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5"/>
      <c r="B501" s="45"/>
      <c r="C501" s="45"/>
      <c r="D501" s="45"/>
      <c r="E501" s="45"/>
      <c r="F501" s="45"/>
      <c r="G501" s="45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5"/>
      <c r="B503" s="45"/>
      <c r="C503" s="45"/>
      <c r="D503" s="45"/>
      <c r="E503" s="45"/>
      <c r="F503" s="45"/>
      <c r="G503" s="45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5"/>
      <c r="B505" s="45"/>
      <c r="C505" s="45"/>
      <c r="D505" s="45"/>
      <c r="E505" s="45"/>
      <c r="F505" s="45"/>
      <c r="G505" s="45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5"/>
      <c r="B507" s="45"/>
      <c r="C507" s="45"/>
      <c r="D507" s="45"/>
      <c r="E507" s="45"/>
      <c r="F507" s="45"/>
      <c r="G507" s="45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5"/>
      <c r="B509" s="45"/>
      <c r="C509" s="45"/>
      <c r="D509" s="45"/>
      <c r="E509" s="45"/>
      <c r="F509" s="45"/>
      <c r="G509" s="45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5"/>
      <c r="B511" s="45"/>
      <c r="C511" s="45"/>
      <c r="D511" s="45"/>
      <c r="E511" s="45"/>
      <c r="F511" s="45"/>
      <c r="G511" s="45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5"/>
      <c r="B513" s="45"/>
      <c r="C513" s="45"/>
      <c r="D513" s="45"/>
      <c r="E513" s="45"/>
      <c r="F513" s="45"/>
      <c r="G513" s="45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5"/>
      <c r="B515" s="45"/>
      <c r="C515" s="45"/>
      <c r="D515" s="45"/>
      <c r="E515" s="45"/>
      <c r="F515" s="45"/>
      <c r="G515" s="45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5"/>
      <c r="B517" s="45"/>
      <c r="C517" s="45"/>
      <c r="D517" s="45"/>
      <c r="E517" s="45"/>
      <c r="F517" s="45"/>
      <c r="G517" s="45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5"/>
      <c r="B519" s="45"/>
      <c r="C519" s="45"/>
      <c r="D519" s="45"/>
      <c r="E519" s="45"/>
      <c r="F519" s="45"/>
      <c r="G519" s="45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5"/>
      <c r="B521" s="45"/>
      <c r="C521" s="45"/>
      <c r="D521" s="45"/>
      <c r="E521" s="45"/>
      <c r="F521" s="45"/>
      <c r="G521" s="45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5"/>
      <c r="B523" s="45"/>
      <c r="C523" s="45"/>
      <c r="D523" s="45"/>
      <c r="E523" s="45"/>
      <c r="F523" s="45"/>
      <c r="G523" s="45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5"/>
      <c r="B525" s="45"/>
      <c r="C525" s="45"/>
      <c r="D525" s="45"/>
      <c r="E525" s="45"/>
      <c r="F525" s="45"/>
      <c r="G525" s="45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5"/>
      <c r="B527" s="45"/>
      <c r="C527" s="45"/>
      <c r="D527" s="45"/>
      <c r="E527" s="45"/>
      <c r="F527" s="45"/>
      <c r="G527" s="45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5"/>
      <c r="B529" s="45"/>
      <c r="C529" s="45"/>
      <c r="D529" s="45"/>
      <c r="E529" s="45"/>
      <c r="F529" s="45"/>
      <c r="G529" s="45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5"/>
      <c r="B531" s="45"/>
      <c r="C531" s="45"/>
      <c r="D531" s="45"/>
      <c r="E531" s="45"/>
      <c r="F531" s="45"/>
      <c r="G531" s="45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5"/>
      <c r="B533" s="45"/>
      <c r="C533" s="45"/>
      <c r="D533" s="45"/>
      <c r="E533" s="45"/>
      <c r="F533" s="45"/>
      <c r="G533" s="45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5"/>
      <c r="B535" s="45"/>
      <c r="C535" s="45"/>
      <c r="D535" s="45"/>
      <c r="E535" s="45"/>
      <c r="F535" s="45"/>
      <c r="G535" s="45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5"/>
      <c r="B537" s="45"/>
      <c r="C537" s="45"/>
      <c r="D537" s="45"/>
      <c r="E537" s="45"/>
      <c r="F537" s="45"/>
      <c r="G537" s="45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5"/>
      <c r="B539" s="45"/>
      <c r="C539" s="45"/>
      <c r="D539" s="45"/>
      <c r="E539" s="45"/>
      <c r="F539" s="45"/>
      <c r="G539" s="45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5"/>
      <c r="B541" s="45"/>
      <c r="C541" s="45"/>
      <c r="D541" s="45"/>
      <c r="E541" s="45"/>
      <c r="F541" s="45"/>
      <c r="G541" s="45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5"/>
      <c r="B543" s="45"/>
      <c r="C543" s="45"/>
      <c r="D543" s="45"/>
      <c r="E543" s="45"/>
      <c r="F543" s="45"/>
      <c r="G543" s="45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5"/>
      <c r="B545" s="45"/>
      <c r="C545" s="45"/>
      <c r="D545" s="45"/>
      <c r="E545" s="45"/>
      <c r="F545" s="45"/>
      <c r="G545" s="45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5"/>
      <c r="B547" s="45"/>
      <c r="C547" s="45"/>
      <c r="D547" s="45"/>
      <c r="E547" s="45"/>
      <c r="F547" s="45"/>
      <c r="G547" s="45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5"/>
      <c r="B549" s="45"/>
      <c r="C549" s="45"/>
      <c r="D549" s="45"/>
      <c r="E549" s="45"/>
      <c r="F549" s="45"/>
      <c r="G549" s="45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5"/>
      <c r="B551" s="45"/>
      <c r="C551" s="45"/>
      <c r="D551" s="45"/>
      <c r="E551" s="45"/>
      <c r="F551" s="45"/>
      <c r="G551" s="45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5"/>
      <c r="B553" s="45"/>
      <c r="C553" s="45"/>
      <c r="D553" s="45"/>
      <c r="E553" s="45"/>
      <c r="F553" s="45"/>
      <c r="G553" s="45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5"/>
      <c r="B555" s="45"/>
      <c r="C555" s="45"/>
      <c r="D555" s="45"/>
      <c r="E555" s="45"/>
      <c r="F555" s="45"/>
      <c r="G555" s="45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5"/>
      <c r="B557" s="45"/>
      <c r="C557" s="45"/>
      <c r="D557" s="45"/>
      <c r="E557" s="45"/>
      <c r="F557" s="45"/>
      <c r="G557" s="45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5"/>
      <c r="B559" s="45"/>
      <c r="C559" s="45"/>
      <c r="D559" s="45"/>
      <c r="E559" s="45"/>
      <c r="F559" s="45"/>
      <c r="G559" s="45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Obs-OnART</vt:lpstr>
      <vt:lpstr>Obs-Population</vt:lpstr>
      <vt:lpstr>Obs-Incidence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'Obs-Incidence'!csv</vt:lpstr>
      <vt:lpstr>'Obs-OnART'!csv</vt:lpstr>
      <vt:lpstr>'Obs-Population'!csv</vt:lpstr>
      <vt:lpstr>'Obs-Prevalence'!csv</vt:lpstr>
      <vt:lpstr>Analyzers!custom_age_bins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2022-07-05T14:58:32Z</dcterms:modified>
</cp:coreProperties>
</file>