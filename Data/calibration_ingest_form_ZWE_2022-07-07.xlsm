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CEDS)/DTCitron_NYU/Projects/ZWE_calibration/Zimbabwe/Data/"/>
    </mc:Choice>
  </mc:AlternateContent>
  <xr:revisionPtr revIDLastSave="0" documentId="13_ncr:1_{AF3B1CFE-04B4-794B-AF2A-AEF23CF9EA52}" xr6:coauthVersionLast="47" xr6:coauthVersionMax="47" xr10:uidLastSave="{00000000-0000-0000-0000-000000000000}"/>
  <bookViews>
    <workbookView xWindow="35280" yWindow="2600" windowWidth="28800" windowHeight="17500" tabRatio="848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Incidence" sheetId="18" r:id="rId11"/>
  </sheets>
  <functionGroups builtInGroupCount="19"/>
  <definedNames>
    <definedName name="additional_columns" localSheetId="10">'Obs-Incidence'!$A$6:$L$6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Analyzers!$D$7:$D$14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'Obs-Incidence'!$B$1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Analyzers!$A$7:$A$14</definedName>
    <definedName name="csv" localSheetId="10">'Obs-Incidence'!$A$8:$G$1008</definedName>
    <definedName name="csv" localSheetId="9">'Obs-OnART'!$A$8:$G$1007</definedName>
    <definedName name="csv" localSheetId="8">'Obs-Population'!$A$8:$G$993</definedName>
    <definedName name="csv" localSheetId="7">'Obs-Prevalence'!$A$8:$G$999</definedName>
    <definedName name="custom_age_bins" localSheetId="5">Analyzers!$F$7:$F$14</definedName>
    <definedName name="data_channels" localSheetId="10">'Obs-Incidence'!$E$8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Analyzers!$B$7:$B$14</definedName>
    <definedName name="dynamic" localSheetId="2">'Model Parameters'!$B$2:$B$70</definedName>
    <definedName name="form_version" localSheetId="0">General!$G$1</definedName>
    <definedName name="gender_selection">Options!$D$2:$D$5</definedName>
    <definedName name="initial_value" localSheetId="2">'Model Parameters'!$C$2:$C$70</definedName>
    <definedName name="map_to" localSheetId="2">'Model Parameters'!$F$2:$F$70</definedName>
    <definedName name="max" localSheetId="2">'Model Parameters'!$E$2:$E$70</definedName>
    <definedName name="min" localSheetId="2">'Model Parameters'!$D$2:$D$70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Parameters'!$A$2:$A$70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Analyzers!$C$7:$C$14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'Obs-Incidence'!$A$4:$L$4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8" i="14" l="1"/>
  <c r="K7" i="7"/>
  <c r="N9" i="12"/>
  <c r="M9" i="12"/>
  <c r="CR48" i="12" l="1"/>
  <c r="CS48" i="12"/>
  <c r="CR49" i="12"/>
  <c r="CS49" i="12"/>
  <c r="CR50" i="12"/>
  <c r="CS50" i="12"/>
  <c r="CR51" i="12"/>
  <c r="CS51" i="12"/>
  <c r="CR52" i="12"/>
  <c r="CS52" i="12"/>
  <c r="CR53" i="12"/>
  <c r="CS53" i="12"/>
  <c r="CR54" i="12"/>
  <c r="CS54" i="12"/>
  <c r="CR56" i="12"/>
  <c r="CS56" i="12"/>
  <c r="CR57" i="12"/>
  <c r="CS57" i="12"/>
  <c r="CR58" i="12"/>
  <c r="CS58" i="12"/>
  <c r="CR59" i="12"/>
  <c r="CS59" i="12"/>
  <c r="CR60" i="12"/>
  <c r="CS60" i="12"/>
  <c r="CR61" i="12"/>
  <c r="CS61" i="12"/>
  <c r="CR62" i="12"/>
  <c r="CS62" i="12"/>
  <c r="CR63" i="12"/>
  <c r="CS63" i="12"/>
  <c r="CR65" i="12"/>
  <c r="CS65" i="12"/>
  <c r="CR66" i="12"/>
  <c r="CS66" i="12"/>
  <c r="CR67" i="12"/>
  <c r="CS67" i="12"/>
  <c r="CR68" i="12"/>
  <c r="CS68" i="12"/>
  <c r="CR69" i="12"/>
  <c r="CS69" i="12"/>
  <c r="CR70" i="12"/>
  <c r="CS70" i="12"/>
  <c r="CR71" i="12"/>
  <c r="CS71" i="12"/>
  <c r="CR72" i="12"/>
  <c r="CS72" i="12"/>
  <c r="CR47" i="12"/>
  <c r="CS47" i="12"/>
  <c r="CS18" i="12"/>
  <c r="CS19" i="12"/>
  <c r="CS20" i="12"/>
  <c r="CS21" i="12"/>
  <c r="CS22" i="12"/>
  <c r="CS23" i="12"/>
  <c r="CS24" i="12"/>
  <c r="CS25" i="12"/>
  <c r="CS27" i="12"/>
  <c r="CS28" i="12"/>
  <c r="CS29" i="12"/>
  <c r="CS30" i="12"/>
  <c r="CS31" i="12"/>
  <c r="CS32" i="12"/>
  <c r="CS33" i="12"/>
  <c r="CS34" i="12"/>
  <c r="CS36" i="12"/>
  <c r="CS37" i="12"/>
  <c r="CS38" i="12"/>
  <c r="CS39" i="12"/>
  <c r="CS40" i="12"/>
  <c r="CS41" i="12"/>
  <c r="CS42" i="12"/>
  <c r="CS43" i="12"/>
  <c r="CR19" i="12"/>
  <c r="CR20" i="12"/>
  <c r="CR21" i="12"/>
  <c r="CR22" i="12"/>
  <c r="CR23" i="12"/>
  <c r="CR24" i="12"/>
  <c r="CR25" i="12"/>
  <c r="CR27" i="12"/>
  <c r="CR28" i="12"/>
  <c r="CR29" i="12"/>
  <c r="CR30" i="12"/>
  <c r="CR31" i="12"/>
  <c r="CR32" i="12"/>
  <c r="CR33" i="12"/>
  <c r="CR34" i="12"/>
  <c r="CR36" i="12"/>
  <c r="CR37" i="12"/>
  <c r="CR38" i="12"/>
  <c r="CR39" i="12"/>
  <c r="CR40" i="12"/>
  <c r="CR41" i="12"/>
  <c r="CR42" i="12"/>
  <c r="CR43" i="12"/>
  <c r="CR18" i="12"/>
  <c r="CS78" i="12" l="1"/>
  <c r="CS79" i="12"/>
  <c r="CS80" i="12"/>
  <c r="CS81" i="12"/>
  <c r="CS82" i="12"/>
  <c r="CS83" i="12"/>
  <c r="CS84" i="12"/>
  <c r="CS85" i="12"/>
  <c r="CS86" i="12"/>
  <c r="CS87" i="12"/>
  <c r="CS88" i="12"/>
  <c r="CS89" i="12"/>
  <c r="CS90" i="12"/>
  <c r="CS91" i="12"/>
  <c r="CS92" i="12"/>
  <c r="CS93" i="12"/>
  <c r="CS94" i="12"/>
  <c r="CS95" i="12"/>
  <c r="CS96" i="12"/>
  <c r="CS98" i="12"/>
  <c r="CS99" i="12"/>
  <c r="CS77" i="12"/>
  <c r="CR78" i="12"/>
  <c r="CR79" i="12"/>
  <c r="CR80" i="12"/>
  <c r="CR81" i="12"/>
  <c r="CR82" i="12"/>
  <c r="CR83" i="12"/>
  <c r="CR84" i="12"/>
  <c r="CR85" i="12"/>
  <c r="CR86" i="12"/>
  <c r="CR87" i="12"/>
  <c r="CR88" i="12"/>
  <c r="CR89" i="12"/>
  <c r="CR90" i="12"/>
  <c r="CR91" i="12"/>
  <c r="CR92" i="12"/>
  <c r="CR93" i="12"/>
  <c r="CR94" i="12"/>
  <c r="CR95" i="12"/>
  <c r="CR96" i="12"/>
  <c r="CR98" i="12"/>
  <c r="CR99" i="12"/>
  <c r="CR77" i="12"/>
  <c r="CQ99" i="12" l="1"/>
  <c r="CQ98" i="12"/>
  <c r="CQ78" i="12"/>
  <c r="CQ79" i="12"/>
  <c r="CQ80" i="12"/>
  <c r="CQ81" i="12"/>
  <c r="CQ82" i="12"/>
  <c r="CQ83" i="12"/>
  <c r="CQ84" i="12"/>
  <c r="CQ85" i="12"/>
  <c r="CQ86" i="12"/>
  <c r="CQ87" i="12"/>
  <c r="CQ88" i="12"/>
  <c r="CQ89" i="12"/>
  <c r="CQ90" i="12"/>
  <c r="CQ91" i="12"/>
  <c r="CQ92" i="12"/>
  <c r="CQ93" i="12"/>
  <c r="CQ94" i="12"/>
  <c r="CQ95" i="12"/>
  <c r="CQ96" i="12"/>
  <c r="CQ77" i="12"/>
  <c r="CQ72" i="12" l="1"/>
  <c r="CQ71" i="12"/>
  <c r="CQ70" i="12"/>
  <c r="CQ69" i="12"/>
  <c r="CQ68" i="12"/>
  <c r="CQ67" i="12"/>
  <c r="CQ66" i="12"/>
  <c r="CQ65" i="12"/>
  <c r="CQ63" i="12"/>
  <c r="CQ62" i="12"/>
  <c r="CQ61" i="12"/>
  <c r="CQ60" i="12"/>
  <c r="CQ59" i="12"/>
  <c r="CQ58" i="12"/>
  <c r="CQ57" i="12"/>
  <c r="CQ56" i="12"/>
  <c r="CQ48" i="12"/>
  <c r="CQ49" i="12"/>
  <c r="CQ50" i="12"/>
  <c r="CQ51" i="12"/>
  <c r="CQ52" i="12"/>
  <c r="CQ53" i="12"/>
  <c r="CQ54" i="12"/>
  <c r="CQ47" i="12"/>
  <c r="CQ43" i="12"/>
  <c r="CQ42" i="12"/>
  <c r="CQ41" i="12"/>
  <c r="CQ40" i="12"/>
  <c r="CQ39" i="12"/>
  <c r="CQ38" i="12"/>
  <c r="CQ37" i="12"/>
  <c r="CQ36" i="12"/>
  <c r="CQ34" i="12"/>
  <c r="CQ33" i="12"/>
  <c r="CQ32" i="12"/>
  <c r="CQ31" i="12"/>
  <c r="CQ30" i="12"/>
  <c r="CQ29" i="12"/>
  <c r="CQ28" i="12"/>
  <c r="CQ27" i="12"/>
  <c r="CQ19" i="12"/>
  <c r="CQ20" i="12"/>
  <c r="CQ21" i="12"/>
  <c r="CQ22" i="12"/>
  <c r="CQ23" i="12"/>
  <c r="CQ24" i="12"/>
  <c r="CQ25" i="12"/>
  <c r="CQ18" i="12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<sst xmlns="http://schemas.openxmlformats.org/spreadsheetml/2006/main" count="1208" uniqueCount="257">
  <si>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</si>
  <si>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</si>
  <si>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</si>
  <si>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</si>
  <si>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</si>
  <si>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</si>
  <si>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</si>
  <si>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</si>
  <si>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</si>
  <si>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</si>
  <si>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</si>
  <si>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</si>
  <si>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</si>
  <si>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</si>
  <si>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</si>
  <si>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</si>
  <si>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</si>
  <si>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</si>
  <si>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</si>
  <si>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</si>
  <si>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</si>
  <si>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</si>
  <si>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</si>
  <si>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</si>
  <si>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</si>
  <si>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</si>
  <si>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</si>
  <si>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</si>
  <si>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</si>
  <si>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</si>
  <si>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</si>
  <si>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</si>
  <si>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</si>
  <si>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</si>
  <si>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</si>
  <si>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</si>
  <si>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</si>
  <si>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</si>
  <si>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</si>
  <si>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</si>
  <si>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</si>
  <si>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</si>
  <si>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</si>
  <si>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</si>
  <si>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</si>
  <si>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</si>
  <si>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</si>
  <si>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</si>
  <si>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</si>
  <si>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</si>
  <si>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</si>
  <si>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</si>
  <si>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</si>
  <si>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</si>
  <si>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</si>
  <si>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</si>
  <si>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</si>
  <si>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</si>
  <si>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</si>
  <si>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</si>
  <si>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</si>
  <si>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</si>
  <si>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</si>
  <si>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</si>
  <si>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</si>
  <si>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</si>
  <si>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</si>
  <si>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</si>
  <si>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</si>
  <si>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</si>
  <si>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</si>
  <si>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</si>
  <si>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</si>
  <si>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</si>
  <si>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</si>
  <si>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</si>
  <si>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</si>
  <si>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</si>
  <si>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</si>
  <si>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</si>
  <si>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</si>
  <si>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</si>
  <si>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</si>
  <si>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</si>
  <si>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</si>
  <si>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</si>
  <si>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</si>
  <si>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</si>
  <si>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</si>
  <si>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</si>
  <si>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</si>
  <si>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</si>
  <si>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</si>
  <si>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</si>
  <si>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</si>
  <si>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</si>
  <si>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</si>
  <si>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</si>
  <si>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</si>
  <si>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</si>
  <si>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Base Infectivity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</si>
  <si>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</si>
  <si>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</si>
  <si>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</si>
  <si>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</si>
  <si>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</si>
  <si>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</si>
  <si>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</si>
  <si>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</si>
  <si>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</si>
  <si>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</si>
  <si>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</si>
  <si>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</si>
  <si>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</si>
  <si>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</si>
  <si>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</si>
  <si>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</si>
  <si>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</si>
  <si>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</si>
  <si>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</si>
  <si>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</si>
  <si>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</si>
  <si>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</si>
  <si>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[5:10)</t>
  </si>
  <si>
    <t>[10:15)</t>
  </si>
  <si>
    <t>[55:60)</t>
  </si>
  <si>
    <t>Male To Female Young</t>
  </si>
  <si>
    <t>Male To Female Old</t>
  </si>
  <si>
    <t>Risk Assortivity</t>
  </si>
  <si>
    <t>OnART</t>
  </si>
  <si>
    <t>Mrtl Condom Mid</t>
  </si>
  <si>
    <t>Mrtl Condom Rate</t>
  </si>
  <si>
    <t>Trns Condom Rate</t>
  </si>
  <si>
    <t>Infrml Condom Mid</t>
  </si>
  <si>
    <t>Infrml Condom Rate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</si>
  <si>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</si>
  <si>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</si>
  <si>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</si>
  <si>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</si>
  <si>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</si>
  <si>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</si>
  <si>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</si>
  <si>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</si>
  <si>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</si>
  <si>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</si>
  <si>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</si>
  <si>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</si>
  <si>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</si>
  <si>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</si>
  <si>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</si>
  <si>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</si>
  <si>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</si>
  <si>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</si>
  <si>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</si>
  <si>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</si>
  <si>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</si>
  <si>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</si>
  <si>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</si>
  <si>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</si>
  <si>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</si>
  <si>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</si>
  <si>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</si>
  <si>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</si>
  <si>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</si>
  <si>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</si>
  <si>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</si>
  <si>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</si>
  <si>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</si>
  <si>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</si>
  <si>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</si>
  <si>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</si>
  <si>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[0:5)</t>
  </si>
  <si>
    <t>Max Trns M MED</t>
  </si>
  <si>
    <t>Trns Condom Mid</t>
  </si>
  <si>
    <t>SeedYr HIGH</t>
  </si>
  <si>
    <t>Start_Year__KP_Seeding_Year</t>
  </si>
  <si>
    <t>National</t>
  </si>
  <si>
    <t xml:space="preserve"> </t>
  </si>
  <si>
    <t>[60:65)</t>
  </si>
  <si>
    <t>[65:70)</t>
  </si>
  <si>
    <t>WOMEN</t>
  </si>
  <si>
    <t>Survey</t>
  </si>
  <si>
    <t>HIV prevalence among women</t>
  </si>
  <si>
    <t>2015-16 DHS</t>
  </si>
  <si>
    <t>Age (5-year groups) : 15-19</t>
  </si>
  <si>
    <t>Age (5-year groups) : 20-24</t>
  </si>
  <si>
    <t>Age (5-year groups) : 25-29</t>
  </si>
  <si>
    <t>Age (5-year groups) : 30-34</t>
  </si>
  <si>
    <t>Age (5-year groups) : 35-39</t>
  </si>
  <si>
    <t>Age (5-year groups) : 40-44</t>
  </si>
  <si>
    <t>Age (5-year groups) : 45-49</t>
  </si>
  <si>
    <t>Total 15-49</t>
  </si>
  <si>
    <t>2010 DHS</t>
  </si>
  <si>
    <t>2004 DHS</t>
  </si>
  <si>
    <t>DHS</t>
  </si>
  <si>
    <t>HIV prevalence among men</t>
  </si>
  <si>
    <t xml:space="preserve">Male </t>
  </si>
  <si>
    <t xml:space="preserve">  </t>
  </si>
  <si>
    <t>Weight later years more?</t>
  </si>
  <si>
    <t>MPHIA 2015</t>
  </si>
  <si>
    <t>Males</t>
  </si>
  <si>
    <t>Age groups (5-year)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</si>
  <si>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</si>
  <si>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</si>
  <si>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</si>
  <si>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</si>
  <si>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</si>
  <si>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</si>
  <si>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</si>
  <si>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</si>
  <si>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</si>
  <si>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</si>
  <si>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Females</t>
  </si>
  <si>
    <t>Incidence</t>
  </si>
  <si>
    <t>[15:25)</t>
  </si>
  <si>
    <t>[25:35)</t>
  </si>
  <si>
    <t>[35:50)</t>
  </si>
  <si>
    <t>lower</t>
  </si>
  <si>
    <t>upper</t>
  </si>
  <si>
    <t>[70:75)</t>
  </si>
  <si>
    <t>[75:80)</t>
  </si>
  <si>
    <t>[80:85)</t>
  </si>
  <si>
    <t>[85:90)</t>
  </si>
  <si>
    <t>estimate</t>
  </si>
  <si>
    <t xml:space="preserve"> Northern</t>
  </si>
  <si>
    <t xml:space="preserve"> Central</t>
  </si>
  <si>
    <t xml:space="preserve"> Southern</t>
  </si>
  <si>
    <t>mean</t>
  </si>
  <si>
    <t>All</t>
  </si>
  <si>
    <t>Total weight</t>
  </si>
  <si>
    <t>Demographic Coverage</t>
  </si>
  <si>
    <t>Zimbabwe</t>
  </si>
  <si>
    <t>Society__KP_Defaults_All_Nodes.INFORMAL.Concurrency_Parameters.LOW.Prob_Extra_Relationship_Female</t>
  </si>
  <si>
    <t>Actual_IndividualIntervention_Config__KP_HCTUptakePostDebut.Ramp_Max</t>
  </si>
  <si>
    <t>Actual_IndividualIntervention_Config__KP_HCTUptakePostDebut.Ramp_MidYear</t>
  </si>
  <si>
    <t>Demographic_Coverage__KP_Seeding</t>
  </si>
  <si>
    <t>Trans Form Rate</t>
  </si>
  <si>
    <t>Informal Form Rate</t>
  </si>
  <si>
    <t>Marital Form Rate</t>
  </si>
  <si>
    <t>Mrtl Condom Max</t>
  </si>
  <si>
    <t>Trns Condoms Max</t>
  </si>
  <si>
    <t>Infrml Condoms Max</t>
  </si>
  <si>
    <t>All: LOW Risk</t>
  </si>
  <si>
    <t>Pr Ex Infrml Male LOW</t>
  </si>
  <si>
    <t>Pr Ex Infrml Male MED</t>
  </si>
  <si>
    <t>Pr Ex Infrml Fem LOW</t>
  </si>
  <si>
    <t>Pr Ex Infrml Fem MED</t>
  </si>
  <si>
    <t>Max Infrml M LOW</t>
  </si>
  <si>
    <t>Max Infrml F LOW</t>
  </si>
  <si>
    <t>Max Infrml M MED</t>
  </si>
  <si>
    <t>Max Infrml F MED</t>
  </si>
  <si>
    <t>Max Mrtl M MED</t>
  </si>
  <si>
    <t>Max Mrtl F MED</t>
  </si>
  <si>
    <t>HCT Uptake Post Debut Max</t>
  </si>
  <si>
    <t>HCT Uptake Post Debut Mid</t>
  </si>
  <si>
    <t>[90:95)</t>
  </si>
  <si>
    <t>[15:100)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</si>
</sst>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F5FB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164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5" fillId="13" borderId="0" xfId="0" applyFont="1" applyFill="1" applyBorder="1" applyAlignment="1" applyProtection="1">
      <alignment horizontal="center"/>
      <protection locked="0"/>
    </xf>
    <xf numFmtId="0" fontId="4" fillId="14" borderId="0" xfId="0" applyFont="1" applyFill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6" fillId="0" borderId="0" xfId="0" applyFont="1" applyProtection="1">
      <protection locked="0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1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Parameters'!B2:B70, FALSE)</f>
        <v>0</v>
      </c>
      <c r="C11" s="14" t="s">
        <v>37</v>
      </c>
    </row>
    <row r="12" spans="1:8" x14ac:dyDescent="0.2">
      <c r="A12" s="3" t="s">
        <v>36</v>
      </c>
      <c r="B12" s="3">
        <f>COUNTIF('Model Parameters'!B2:B70, TRUE)</f>
        <v>39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5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workbookViewId="0">
      <selection activeCell="B8" sqref="B8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6" t="s">
        <v>90</v>
      </c>
    </row>
    <row r="2" spans="1:13" x14ac:dyDescent="0.2">
      <c r="A2" s="16" t="s">
        <v>92</v>
      </c>
    </row>
    <row r="3" spans="1:13" x14ac:dyDescent="0.2">
      <c r="A3" s="16" t="s">
        <v>94</v>
      </c>
    </row>
    <row r="4" spans="1:13" x14ac:dyDescent="0.2">
      <c r="A4" s="16" t="s">
        <v>91</v>
      </c>
    </row>
    <row r="5" spans="1:13" x14ac:dyDescent="0.2">
      <c r="A5" s="16" t="s">
        <v>99</v>
      </c>
    </row>
    <row r="6" spans="1:13" x14ac:dyDescent="0.2">
      <c r="A6" s="16"/>
    </row>
    <row r="7" spans="1:13" x14ac:dyDescent="0.2">
      <c r="A7" s="11" t="s">
        <v>93</v>
      </c>
      <c r="B7" s="5" t="s">
        <v>231</v>
      </c>
    </row>
    <row r="8" spans="1:13" x14ac:dyDescent="0.2">
      <c r="A8" s="9" t="s">
        <v>85</v>
      </c>
      <c r="B8" s="6">
        <v>7953003</v>
      </c>
    </row>
    <row r="9" spans="1:13" x14ac:dyDescent="0.2">
      <c r="A9" s="9" t="s">
        <v>86</v>
      </c>
      <c r="B9" s="7">
        <v>2015</v>
      </c>
    </row>
    <row r="10" spans="1:13" x14ac:dyDescent="0.2">
      <c r="A10" s="9" t="s">
        <v>87</v>
      </c>
      <c r="B10" s="6" t="s">
        <v>114</v>
      </c>
    </row>
    <row r="11" spans="1:13" x14ac:dyDescent="0.2">
      <c r="A11" s="9" t="s">
        <v>88</v>
      </c>
      <c r="B11" s="7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">
      <c r="A12" s="9" t="s">
        <v>89</v>
      </c>
      <c r="B12" s="4" t="s">
        <v>231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70"/>
  <sheetViews>
    <sheetView tabSelected="1" topLeftCell="A20" zoomScale="160" zoomScaleNormal="160" workbookViewId="0">
      <selection activeCell="C27" sqref="C27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104.33203125" customWidth="1"/>
    <col min="7" max="7" width="43.5" bestFit="1" customWidth="1"/>
  </cols>
  <sheetData>
    <row r="1" spans="1:10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10" x14ac:dyDescent="0.2">
      <c r="A2" s="4" t="s">
        <v>100</v>
      </c>
      <c r="B2" s="5" t="b">
        <v>1</v>
      </c>
      <c r="C2" s="4">
        <v>5.9999999999999995E-4</v>
      </c>
      <c r="D2" s="5">
        <v>1E-4</v>
      </c>
      <c r="E2" s="4">
        <v>4.0000000000000001E-3</v>
      </c>
      <c r="F2" s="5" t="s">
        <v>101</v>
      </c>
      <c r="G2" s="16"/>
    </row>
    <row r="3" spans="1:10" x14ac:dyDescent="0.2">
      <c r="A3" s="4" t="s">
        <v>236</v>
      </c>
      <c r="B3" s="5" t="b">
        <v>1</v>
      </c>
      <c r="C3" s="4">
        <v>1.0342639119929301E-3</v>
      </c>
      <c r="D3" s="5">
        <v>1.36986301369863E-4</v>
      </c>
      <c r="E3" s="4">
        <v>2.7397260273972599E-3</v>
      </c>
      <c r="F3" s="5" t="s">
        <v>142</v>
      </c>
      <c r="G3" s="16"/>
      <c r="H3" s="16"/>
      <c r="I3" s="16"/>
      <c r="J3" s="16"/>
    </row>
    <row r="4" spans="1:10" x14ac:dyDescent="0.2">
      <c r="A4" s="4" t="s">
        <v>237</v>
      </c>
      <c r="B4" s="5" t="b">
        <v>1</v>
      </c>
      <c r="C4" s="4">
        <v>8.2354436003016101E-4</v>
      </c>
      <c r="D4" s="5">
        <v>9.1324200913241998E-5</v>
      </c>
      <c r="E4" s="4">
        <v>2.7397260273972499E-3</v>
      </c>
      <c r="F4" s="5" t="s">
        <v>143</v>
      </c>
      <c r="G4" s="16"/>
      <c r="H4" s="16"/>
      <c r="I4" s="16"/>
      <c r="J4" s="16"/>
    </row>
    <row r="5" spans="1:10" x14ac:dyDescent="0.2">
      <c r="A5" s="4" t="s">
        <v>238</v>
      </c>
      <c r="B5" s="5" t="b">
        <v>1</v>
      </c>
      <c r="C5" s="4">
        <v>9.2765437660219301E-5</v>
      </c>
      <c r="D5" s="5">
        <v>5.47945205479452E-5</v>
      </c>
      <c r="E5" s="4">
        <v>2.7397260273972601E-4</v>
      </c>
      <c r="F5" s="5" t="s">
        <v>144</v>
      </c>
      <c r="G5" s="16"/>
    </row>
    <row r="6" spans="1:10" x14ac:dyDescent="0.2">
      <c r="A6" s="4" t="s">
        <v>126</v>
      </c>
      <c r="B6" s="5" t="b">
        <v>1</v>
      </c>
      <c r="C6" s="4">
        <v>2.1202282879885099</v>
      </c>
      <c r="D6" s="5">
        <v>1</v>
      </c>
      <c r="E6" s="4">
        <v>4</v>
      </c>
      <c r="F6" s="5"/>
      <c r="G6" s="16"/>
    </row>
    <row r="7" spans="1:10" x14ac:dyDescent="0.2">
      <c r="A7" s="4" t="s">
        <v>127</v>
      </c>
      <c r="B7" s="5" t="b">
        <v>1</v>
      </c>
      <c r="C7" s="4">
        <v>1.3871507216041301</v>
      </c>
      <c r="D7" s="5">
        <v>1</v>
      </c>
      <c r="E7" s="4">
        <v>4</v>
      </c>
      <c r="F7" s="5"/>
      <c r="G7" s="16"/>
    </row>
    <row r="8" spans="1:10" x14ac:dyDescent="0.2">
      <c r="A8" s="4" t="s">
        <v>173</v>
      </c>
      <c r="B8" s="5" t="b">
        <v>1</v>
      </c>
      <c r="C8" s="4">
        <v>1997.06024477299</v>
      </c>
      <c r="D8" s="5">
        <v>1990</v>
      </c>
      <c r="E8" s="4">
        <v>2010</v>
      </c>
      <c r="F8" s="5" t="s">
        <v>145</v>
      </c>
      <c r="G8" s="16"/>
    </row>
    <row r="9" spans="1:10" x14ac:dyDescent="0.2">
      <c r="A9" s="4" t="s">
        <v>132</v>
      </c>
      <c r="B9" s="5" t="b">
        <v>1</v>
      </c>
      <c r="C9" s="4">
        <v>2.9547677193706798</v>
      </c>
      <c r="D9" s="5">
        <v>0</v>
      </c>
      <c r="E9" s="4">
        <v>4</v>
      </c>
      <c r="F9" s="5" t="s">
        <v>146</v>
      </c>
      <c r="G9" s="16"/>
    </row>
    <row r="10" spans="1:10" x14ac:dyDescent="0.2">
      <c r="A10" s="4" t="s">
        <v>133</v>
      </c>
      <c r="B10" s="5" t="b">
        <v>1</v>
      </c>
      <c r="C10" s="4">
        <v>1999.9412298157599</v>
      </c>
      <c r="D10" s="5">
        <v>1990</v>
      </c>
      <c r="E10" s="4">
        <v>2010</v>
      </c>
      <c r="F10" s="5" t="s">
        <v>148</v>
      </c>
      <c r="G10" s="17"/>
    </row>
    <row r="11" spans="1:10" x14ac:dyDescent="0.2">
      <c r="A11" s="4" t="s">
        <v>134</v>
      </c>
      <c r="B11" s="5" t="b">
        <v>1</v>
      </c>
      <c r="C11" s="22">
        <v>2.89767908853407</v>
      </c>
      <c r="D11" s="21">
        <v>0</v>
      </c>
      <c r="E11" s="4">
        <v>4</v>
      </c>
      <c r="F11" s="5" t="s">
        <v>149</v>
      </c>
    </row>
    <row r="12" spans="1:10" x14ac:dyDescent="0.2">
      <c r="A12" s="4" t="s">
        <v>131</v>
      </c>
      <c r="B12" s="5" t="b">
        <v>1</v>
      </c>
      <c r="C12" s="22">
        <v>2.5970096012713499</v>
      </c>
      <c r="D12" s="21">
        <v>0</v>
      </c>
      <c r="E12" s="4">
        <v>4</v>
      </c>
      <c r="F12" s="5" t="s">
        <v>152</v>
      </c>
    </row>
    <row r="13" spans="1:10" x14ac:dyDescent="0.2">
      <c r="A13" s="4" t="s">
        <v>130</v>
      </c>
      <c r="B13" s="5" t="b">
        <v>1</v>
      </c>
      <c r="C13" s="4">
        <v>1999.22282136331</v>
      </c>
      <c r="D13" s="5">
        <v>1990</v>
      </c>
      <c r="E13" s="4">
        <v>2010</v>
      </c>
      <c r="F13" s="5" t="s">
        <v>151</v>
      </c>
    </row>
    <row r="14" spans="1:10" x14ac:dyDescent="0.2">
      <c r="A14" s="4" t="s">
        <v>239</v>
      </c>
      <c r="B14" s="5" t="b">
        <v>1</v>
      </c>
      <c r="C14" s="4">
        <v>0.15</v>
      </c>
      <c r="D14" s="5">
        <v>0</v>
      </c>
      <c r="E14" s="4">
        <v>0.4</v>
      </c>
      <c r="F14" s="5" t="s">
        <v>153</v>
      </c>
      <c r="G14" t="s">
        <v>177</v>
      </c>
    </row>
    <row r="15" spans="1:10" x14ac:dyDescent="0.2">
      <c r="A15" s="4" t="s">
        <v>240</v>
      </c>
      <c r="B15" s="5" t="b">
        <v>1</v>
      </c>
      <c r="C15" s="4">
        <v>0.25</v>
      </c>
      <c r="D15" s="5">
        <v>0</v>
      </c>
      <c r="E15" s="4">
        <v>0.5</v>
      </c>
      <c r="F15" s="5" t="s">
        <v>147</v>
      </c>
    </row>
    <row r="16" spans="1:10" x14ac:dyDescent="0.2">
      <c r="A16" s="4" t="s">
        <v>241</v>
      </c>
      <c r="B16" s="5" t="b">
        <v>1</v>
      </c>
      <c r="C16" s="4">
        <v>0.3</v>
      </c>
      <c r="D16" s="5">
        <v>0</v>
      </c>
      <c r="E16" s="4">
        <v>0.4</v>
      </c>
      <c r="F16" s="5" t="s">
        <v>150</v>
      </c>
    </row>
    <row r="17" spans="1:6" x14ac:dyDescent="0.2">
      <c r="A17" s="4" t="s">
        <v>242</v>
      </c>
      <c r="B17" s="5" t="b">
        <v>1</v>
      </c>
      <c r="C17" s="4">
        <v>0.60797748266033602</v>
      </c>
      <c r="D17" s="5">
        <v>0.5</v>
      </c>
      <c r="E17" s="4">
        <v>0.95</v>
      </c>
      <c r="F17" s="5"/>
    </row>
    <row r="18" spans="1:6" x14ac:dyDescent="0.2">
      <c r="A18" s="4" t="s">
        <v>128</v>
      </c>
      <c r="B18" s="5" t="b">
        <v>1</v>
      </c>
      <c r="C18" s="4">
        <v>0.7</v>
      </c>
      <c r="D18" s="5">
        <v>0.5</v>
      </c>
      <c r="E18" s="4">
        <v>0.9</v>
      </c>
      <c r="F18" s="5"/>
    </row>
    <row r="19" spans="1:6" x14ac:dyDescent="0.2">
      <c r="A19" s="4" t="s">
        <v>135</v>
      </c>
      <c r="B19" s="5" t="b">
        <v>1</v>
      </c>
      <c r="C19" s="4">
        <v>0.29602411363505998</v>
      </c>
      <c r="D19" s="5">
        <v>0</v>
      </c>
      <c r="E19" s="4">
        <v>0.5</v>
      </c>
      <c r="F19" s="5" t="s">
        <v>154</v>
      </c>
    </row>
    <row r="20" spans="1:6" x14ac:dyDescent="0.2">
      <c r="A20" s="4" t="s">
        <v>136</v>
      </c>
      <c r="B20" s="5" t="b">
        <v>1</v>
      </c>
      <c r="C20" s="4">
        <v>0.75186543741691503</v>
      </c>
      <c r="D20" s="5">
        <v>0</v>
      </c>
      <c r="E20" s="4">
        <v>0.8</v>
      </c>
      <c r="F20" s="5" t="s">
        <v>155</v>
      </c>
    </row>
    <row r="21" spans="1:6" x14ac:dyDescent="0.2">
      <c r="A21" s="4" t="s">
        <v>137</v>
      </c>
      <c r="B21" s="5" t="b">
        <v>1</v>
      </c>
      <c r="C21" s="4">
        <v>0.110705275672901</v>
      </c>
      <c r="D21" s="5">
        <v>0</v>
      </c>
      <c r="E21" s="4">
        <v>0.25</v>
      </c>
      <c r="F21" s="5" t="s">
        <v>156</v>
      </c>
    </row>
    <row r="22" spans="1:6" x14ac:dyDescent="0.2">
      <c r="A22" s="4" t="s">
        <v>138</v>
      </c>
      <c r="B22" s="5" t="b">
        <v>1</v>
      </c>
      <c r="C22" s="4">
        <v>0.74870745810037598</v>
      </c>
      <c r="D22" s="5">
        <v>0</v>
      </c>
      <c r="E22" s="4">
        <v>0.8</v>
      </c>
      <c r="F22" s="5" t="s">
        <v>157</v>
      </c>
    </row>
    <row r="23" spans="1:6" x14ac:dyDescent="0.2">
      <c r="A23" s="4" t="s">
        <v>243</v>
      </c>
      <c r="B23" s="5" t="b">
        <v>1</v>
      </c>
      <c r="C23" s="4">
        <v>0.56473058734970305</v>
      </c>
      <c r="D23" s="5">
        <v>0</v>
      </c>
      <c r="E23" s="4">
        <v>0.6</v>
      </c>
      <c r="F23" s="5" t="s">
        <v>158</v>
      </c>
    </row>
    <row r="24" spans="1:6" x14ac:dyDescent="0.2">
      <c r="A24" s="4" t="s">
        <v>244</v>
      </c>
      <c r="B24" s="5" t="b">
        <v>1</v>
      </c>
      <c r="C24" s="4">
        <v>0.34346997406633401</v>
      </c>
      <c r="D24" s="5">
        <v>0</v>
      </c>
      <c r="E24" s="4">
        <v>0.5</v>
      </c>
      <c r="F24" s="5" t="s">
        <v>163</v>
      </c>
    </row>
    <row r="25" spans="1:6" x14ac:dyDescent="0.2">
      <c r="A25" s="4" t="s">
        <v>245</v>
      </c>
      <c r="B25" s="5" t="b">
        <v>1</v>
      </c>
      <c r="C25" s="4">
        <v>0.34346997406633401</v>
      </c>
      <c r="D25" s="5">
        <v>0</v>
      </c>
      <c r="E25" s="4">
        <v>0.5</v>
      </c>
      <c r="F25" s="5" t="s">
        <v>232</v>
      </c>
    </row>
    <row r="26" spans="1:6" x14ac:dyDescent="0.2">
      <c r="A26" s="4" t="s">
        <v>246</v>
      </c>
      <c r="B26" s="5" t="b">
        <v>1</v>
      </c>
      <c r="C26" s="4">
        <v>0.40814703273896302</v>
      </c>
      <c r="D26" s="5">
        <v>0</v>
      </c>
      <c r="E26" s="4">
        <v>0.5</v>
      </c>
      <c r="F26" s="5" t="s">
        <v>164</v>
      </c>
    </row>
    <row r="27" spans="1:6" x14ac:dyDescent="0.2">
      <c r="A27" s="4" t="s">
        <v>139</v>
      </c>
      <c r="B27" s="5" t="b">
        <v>1</v>
      </c>
      <c r="C27" s="4">
        <v>1.95917620565913</v>
      </c>
      <c r="D27" s="5">
        <v>0.9</v>
      </c>
      <c r="E27" s="4">
        <v>2</v>
      </c>
      <c r="F27" s="5" t="s">
        <v>159</v>
      </c>
    </row>
    <row r="28" spans="1:6" x14ac:dyDescent="0.2">
      <c r="A28" s="4" t="s">
        <v>140</v>
      </c>
      <c r="B28" s="5" t="b">
        <v>1</v>
      </c>
      <c r="C28" s="4">
        <v>1.95917620565913</v>
      </c>
      <c r="D28" s="5">
        <v>0.9</v>
      </c>
      <c r="E28" s="4">
        <v>2</v>
      </c>
      <c r="F28" s="5" t="s">
        <v>160</v>
      </c>
    </row>
    <row r="29" spans="1:6" x14ac:dyDescent="0.2">
      <c r="A29" s="4" t="s">
        <v>247</v>
      </c>
      <c r="B29" s="5" t="b">
        <v>1</v>
      </c>
      <c r="C29" s="4">
        <v>1.40784274518667</v>
      </c>
      <c r="D29" s="5">
        <v>0.9</v>
      </c>
      <c r="E29" s="4">
        <v>2</v>
      </c>
      <c r="F29" s="5" t="s">
        <v>161</v>
      </c>
    </row>
    <row r="30" spans="1:6" x14ac:dyDescent="0.2">
      <c r="A30" s="4" t="s">
        <v>248</v>
      </c>
      <c r="B30" s="5" t="b">
        <v>1</v>
      </c>
      <c r="C30" s="4">
        <v>1.40784274518667</v>
      </c>
      <c r="D30" s="5">
        <v>0.9</v>
      </c>
      <c r="E30" s="4">
        <v>2</v>
      </c>
      <c r="F30" s="5" t="s">
        <v>162</v>
      </c>
    </row>
    <row r="31" spans="1:6" x14ac:dyDescent="0.2">
      <c r="A31" s="4" t="s">
        <v>172</v>
      </c>
      <c r="B31" s="5" t="b">
        <v>1</v>
      </c>
      <c r="C31" s="4">
        <v>3</v>
      </c>
      <c r="D31" s="5">
        <v>0.9</v>
      </c>
      <c r="E31" s="4">
        <v>4</v>
      </c>
      <c r="F31" s="5" t="s">
        <v>165</v>
      </c>
    </row>
    <row r="32" spans="1:6" x14ac:dyDescent="0.2">
      <c r="A32" s="4" t="s">
        <v>141</v>
      </c>
      <c r="B32" s="5" t="b">
        <v>1</v>
      </c>
      <c r="C32" s="4">
        <v>3</v>
      </c>
      <c r="D32" s="5">
        <v>0.9</v>
      </c>
      <c r="E32" s="4">
        <v>4</v>
      </c>
      <c r="F32" s="5" t="s">
        <v>166</v>
      </c>
    </row>
    <row r="33" spans="1:6" x14ac:dyDescent="0.2">
      <c r="A33" s="4" t="s">
        <v>249</v>
      </c>
      <c r="B33" s="5" t="b">
        <v>1</v>
      </c>
      <c r="C33" s="4">
        <v>3</v>
      </c>
      <c r="D33" s="5">
        <v>0.9</v>
      </c>
      <c r="E33" s="4">
        <v>4</v>
      </c>
      <c r="F33" s="5" t="s">
        <v>167</v>
      </c>
    </row>
    <row r="34" spans="1:6" x14ac:dyDescent="0.2">
      <c r="A34" s="4" t="s">
        <v>250</v>
      </c>
      <c r="B34" s="5" t="b">
        <v>1</v>
      </c>
      <c r="C34" s="4">
        <v>3</v>
      </c>
      <c r="D34" s="5">
        <v>0.9</v>
      </c>
      <c r="E34" s="4">
        <v>4</v>
      </c>
      <c r="F34" s="5" t="s">
        <v>168</v>
      </c>
    </row>
    <row r="35" spans="1:6" x14ac:dyDescent="0.2">
      <c r="A35" s="4" t="s">
        <v>251</v>
      </c>
      <c r="B35" s="5" t="b">
        <v>1</v>
      </c>
      <c r="C35" s="4">
        <v>1.0982180704963</v>
      </c>
      <c r="D35" s="5">
        <v>0.9</v>
      </c>
      <c r="E35" s="4">
        <v>2</v>
      </c>
      <c r="F35" s="5" t="s">
        <v>169</v>
      </c>
    </row>
    <row r="36" spans="1:6" x14ac:dyDescent="0.2">
      <c r="A36" s="4" t="s">
        <v>252</v>
      </c>
      <c r="B36" s="5" t="b">
        <v>1</v>
      </c>
      <c r="C36" s="4">
        <v>1.0982180704963</v>
      </c>
      <c r="D36" s="5">
        <v>0.9</v>
      </c>
      <c r="E36" s="4">
        <v>2</v>
      </c>
      <c r="F36" s="5" t="s">
        <v>170</v>
      </c>
    </row>
    <row r="37" spans="1:6" x14ac:dyDescent="0.2">
      <c r="A37" s="4" t="s">
        <v>253</v>
      </c>
      <c r="B37" s="5" t="b">
        <v>1</v>
      </c>
      <c r="C37" s="4">
        <v>0.33381625695871803</v>
      </c>
      <c r="D37" s="5">
        <v>0</v>
      </c>
      <c r="E37" s="4">
        <v>0.5</v>
      </c>
      <c r="F37" s="5" t="s">
        <v>233</v>
      </c>
    </row>
    <row r="38" spans="1:6" x14ac:dyDescent="0.2">
      <c r="A38" s="4" t="s">
        <v>254</v>
      </c>
      <c r="B38" s="5" t="b">
        <v>1</v>
      </c>
      <c r="C38" s="4">
        <v>2006.4119083083499</v>
      </c>
      <c r="D38" s="5">
        <v>1995</v>
      </c>
      <c r="E38" s="4">
        <v>2015</v>
      </c>
      <c r="F38" s="5" t="s">
        <v>234</v>
      </c>
    </row>
    <row r="39" spans="1:6" x14ac:dyDescent="0.2">
      <c r="A39" s="4" t="s">
        <v>174</v>
      </c>
      <c r="B39" s="5" t="b">
        <v>1</v>
      </c>
      <c r="C39" s="4">
        <v>1975</v>
      </c>
      <c r="D39" s="5">
        <v>1970</v>
      </c>
      <c r="E39" s="4">
        <v>1985</v>
      </c>
      <c r="F39" s="5" t="s">
        <v>175</v>
      </c>
    </row>
    <row r="40" spans="1:6" x14ac:dyDescent="0.2">
      <c r="A40" s="4" t="s">
        <v>230</v>
      </c>
      <c r="B40" s="5" t="b">
        <v>1</v>
      </c>
      <c r="C40" s="4">
        <v>0.2</v>
      </c>
      <c r="D40" s="5">
        <v>0.1</v>
      </c>
      <c r="E40" s="4">
        <v>0.3</v>
      </c>
      <c r="F40" s="5" t="s">
        <v>235</v>
      </c>
    </row>
    <row r="41" spans="1:6" x14ac:dyDescent="0.2">
      <c r="A41" s="4"/>
      <c r="B41" s="5" t="s">
        <v>12</v>
      </c>
      <c r="C41" s="4"/>
      <c r="D41" s="5"/>
      <c r="E41" s="4"/>
      <c r="F41" s="5"/>
    </row>
    <row r="42" spans="1:6" x14ac:dyDescent="0.2">
      <c r="A42" s="4"/>
      <c r="B42" s="5" t="s">
        <v>12</v>
      </c>
      <c r="C42" s="4"/>
      <c r="D42" s="5"/>
      <c r="E42" s="4"/>
      <c r="F42" s="5"/>
    </row>
    <row r="43" spans="1:6" x14ac:dyDescent="0.2">
      <c r="A43" s="4"/>
      <c r="B43" s="5" t="s">
        <v>12</v>
      </c>
      <c r="C43" s="4"/>
      <c r="D43" s="5"/>
      <c r="E43" s="4"/>
      <c r="F43" s="5"/>
    </row>
    <row r="44" spans="1:6" x14ac:dyDescent="0.2">
      <c r="A44" s="4"/>
      <c r="B44" s="5" t="s">
        <v>12</v>
      </c>
      <c r="C44" s="4"/>
      <c r="D44" s="5"/>
      <c r="E44" s="4"/>
      <c r="F44" s="5"/>
    </row>
    <row r="45" spans="1:6" x14ac:dyDescent="0.2">
      <c r="A45" s="4"/>
      <c r="B45" s="5" t="s">
        <v>12</v>
      </c>
      <c r="C45" s="4"/>
      <c r="D45" s="5"/>
      <c r="E45" s="4"/>
      <c r="F45" s="5"/>
    </row>
    <row r="46" spans="1:6" x14ac:dyDescent="0.2">
      <c r="A46" s="4"/>
      <c r="B46" s="5" t="s">
        <v>12</v>
      </c>
      <c r="C46" s="4"/>
      <c r="D46" s="5"/>
      <c r="E46" s="4"/>
      <c r="F46" s="5"/>
    </row>
    <row r="47" spans="1:6" x14ac:dyDescent="0.2">
      <c r="A47" s="4"/>
      <c r="B47" s="5" t="s">
        <v>12</v>
      </c>
      <c r="C47" s="4"/>
      <c r="D47" s="5"/>
      <c r="E47" s="4"/>
      <c r="F47" s="5"/>
    </row>
    <row r="48" spans="1:6" x14ac:dyDescent="0.2">
      <c r="A48" s="4"/>
      <c r="B48" s="5" t="s">
        <v>12</v>
      </c>
      <c r="C48" s="4"/>
      <c r="D48" s="5"/>
      <c r="E48" s="4"/>
      <c r="F48" s="5"/>
    </row>
    <row r="49" spans="1:6" x14ac:dyDescent="0.2">
      <c r="A49" s="4"/>
      <c r="B49" s="5" t="s">
        <v>12</v>
      </c>
      <c r="C49" s="4"/>
      <c r="D49" s="5"/>
      <c r="E49" s="4"/>
      <c r="F49" s="5"/>
    </row>
    <row r="50" spans="1:6" x14ac:dyDescent="0.2">
      <c r="A50" s="4"/>
      <c r="B50" s="5" t="s">
        <v>12</v>
      </c>
      <c r="C50" s="4"/>
      <c r="D50" s="5"/>
      <c r="E50" s="4"/>
      <c r="F50" s="5"/>
    </row>
    <row r="51" spans="1:6" x14ac:dyDescent="0.2">
      <c r="A51" s="4"/>
      <c r="B51" s="5" t="s">
        <v>12</v>
      </c>
      <c r="C51" s="4"/>
      <c r="D51" s="5"/>
      <c r="E51" s="4"/>
      <c r="F51" s="5"/>
    </row>
    <row r="52" spans="1:6" x14ac:dyDescent="0.2">
      <c r="A52" s="4"/>
      <c r="B52" s="5" t="s">
        <v>12</v>
      </c>
      <c r="C52" s="4"/>
      <c r="D52" s="5"/>
      <c r="E52" s="4"/>
      <c r="F52" s="5"/>
    </row>
    <row r="53" spans="1:6" x14ac:dyDescent="0.2">
      <c r="A53" s="4"/>
      <c r="B53" s="5" t="s">
        <v>12</v>
      </c>
      <c r="C53" s="4"/>
      <c r="D53" s="5"/>
      <c r="E53" s="4"/>
      <c r="F53" s="5"/>
    </row>
    <row r="54" spans="1:6" x14ac:dyDescent="0.2">
      <c r="A54" s="4"/>
      <c r="B54" s="5" t="s">
        <v>12</v>
      </c>
      <c r="C54" s="4"/>
      <c r="D54" s="5"/>
      <c r="E54" s="4"/>
      <c r="F54" s="5"/>
    </row>
    <row r="55" spans="1:6" x14ac:dyDescent="0.2">
      <c r="A55" s="4"/>
      <c r="B55" s="5" t="s">
        <v>12</v>
      </c>
      <c r="C55" s="4"/>
      <c r="D55" s="5"/>
      <c r="E55" s="4"/>
      <c r="F55" s="5"/>
    </row>
    <row r="56" spans="1:6" x14ac:dyDescent="0.2">
      <c r="A56" s="4"/>
      <c r="B56" s="5" t="s">
        <v>12</v>
      </c>
      <c r="C56" s="4"/>
      <c r="D56" s="5"/>
      <c r="E56" s="4"/>
      <c r="F56" s="5"/>
    </row>
    <row r="57" spans="1:6" x14ac:dyDescent="0.2">
      <c r="A57" s="4"/>
      <c r="B57" s="5" t="s">
        <v>12</v>
      </c>
      <c r="C57" s="4"/>
      <c r="D57" s="5"/>
      <c r="E57" s="4"/>
      <c r="F57" s="5"/>
    </row>
    <row r="58" spans="1:6" x14ac:dyDescent="0.2">
      <c r="A58" s="4"/>
      <c r="B58" s="5" t="s">
        <v>12</v>
      </c>
      <c r="C58" s="4"/>
      <c r="D58" s="5"/>
      <c r="E58" s="4"/>
      <c r="F58" s="5"/>
    </row>
    <row r="59" spans="1:6" x14ac:dyDescent="0.2">
      <c r="A59" s="4"/>
      <c r="B59" s="5" t="s">
        <v>12</v>
      </c>
      <c r="C59" s="4"/>
      <c r="D59" s="5"/>
      <c r="E59" s="4"/>
      <c r="F59" s="5"/>
    </row>
    <row r="60" spans="1:6" x14ac:dyDescent="0.2">
      <c r="A60" s="4"/>
      <c r="B60" s="5" t="s">
        <v>12</v>
      </c>
      <c r="C60" s="4"/>
      <c r="D60" s="5"/>
      <c r="E60" s="4"/>
      <c r="F60" s="5"/>
    </row>
    <row r="61" spans="1:6" x14ac:dyDescent="0.2">
      <c r="A61" s="4"/>
      <c r="B61" s="5" t="s">
        <v>12</v>
      </c>
      <c r="C61" s="4"/>
      <c r="D61" s="5"/>
      <c r="E61" s="4"/>
      <c r="F61" s="5"/>
    </row>
    <row r="62" spans="1:6" x14ac:dyDescent="0.2">
      <c r="A62" s="4"/>
      <c r="B62" s="5" t="s">
        <v>12</v>
      </c>
      <c r="C62" s="4"/>
      <c r="D62" s="5"/>
      <c r="E62" s="4"/>
      <c r="F62" s="5"/>
    </row>
    <row r="63" spans="1:6" x14ac:dyDescent="0.2">
      <c r="A63" s="4"/>
      <c r="B63" s="5" t="s">
        <v>12</v>
      </c>
      <c r="C63" s="4"/>
      <c r="D63" s="5"/>
      <c r="E63" s="4"/>
      <c r="F63" s="5"/>
    </row>
    <row r="64" spans="1:6" x14ac:dyDescent="0.2">
      <c r="A64" s="4"/>
      <c r="B64" s="5" t="s">
        <v>12</v>
      </c>
      <c r="C64" s="4"/>
      <c r="D64" s="5"/>
      <c r="E64" s="4"/>
      <c r="F64" s="5"/>
    </row>
    <row r="65" spans="1:6" x14ac:dyDescent="0.2">
      <c r="A65" s="4"/>
      <c r="B65" s="5" t="s">
        <v>12</v>
      </c>
      <c r="C65" s="4"/>
      <c r="D65" s="5"/>
      <c r="E65" s="4"/>
      <c r="F65" s="5"/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</sheetData>
  <conditionalFormatting sqref="C2:C11 C13:C70">
    <cfRule type="expression" dxfId="14" priority="60">
      <formula>AND(OR(C2 &lt; D2, C2 &gt; E2, C2 = none), A2 &lt;&gt; none)</formula>
    </cfRule>
  </conditionalFormatting>
  <conditionalFormatting sqref="C8">
    <cfRule type="expression" dxfId="13" priority="59">
      <formula>AND(OR(C8 &lt; D8, C8 &gt; E8), A8 &lt;&gt; "")</formula>
    </cfRule>
  </conditionalFormatting>
  <conditionalFormatting sqref="D2:D11 D13:D70">
    <cfRule type="expression" dxfId="12" priority="57">
      <formula>AND(OR(D2 &gt; E2, D2=none), A2 &lt;&gt; none)</formula>
    </cfRule>
  </conditionalFormatting>
  <conditionalFormatting sqref="E2:E70">
    <cfRule type="expression" dxfId="11" priority="55">
      <formula>AND(OR(E2 &lt; D2, E2=none), A2 &lt;&gt; none)</formula>
    </cfRule>
  </conditionalFormatting>
  <conditionalFormatting sqref="B2:B70">
    <cfRule type="expression" dxfId="10" priority="54">
      <formula>AND(B2&lt;&gt;TRUE, B2&lt;&gt;FALSE, A2&lt;&gt;none)</formula>
    </cfRule>
  </conditionalFormatting>
  <conditionalFormatting sqref="C12">
    <cfRule type="expression" dxfId="9" priority="50">
      <formula>AND(OR(C12 &lt; D12, C12 &gt; E12, C12 = none), A12 &lt;&gt; none)</formula>
    </cfRule>
  </conditionalFormatting>
  <conditionalFormatting sqref="D12">
    <cfRule type="expression" dxfId="8" priority="49">
      <formula>AND(OR(D12 &gt; E12, D12=none), A12 &lt;&gt; none)</formula>
    </cfRule>
  </conditionalFormatting>
  <dataValidations count="1">
    <dataValidation type="list" allowBlank="1" showInputMessage="1" showErrorMessage="1" sqref="B2:B7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102</v>
      </c>
      <c r="B8" s="35" t="s">
        <v>129</v>
      </c>
      <c r="C8" s="34" t="s">
        <v>85</v>
      </c>
      <c r="D8" s="35" t="s">
        <v>213</v>
      </c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6" t="s">
        <v>96</v>
      </c>
      <c r="B10" s="37" t="s">
        <v>95</v>
      </c>
      <c r="C10" s="36" t="s">
        <v>95</v>
      </c>
      <c r="D10" s="37" t="s">
        <v>96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4"/>
  <sheetViews>
    <sheetView workbookViewId="0">
      <selection activeCell="F24" sqref="F24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11" x14ac:dyDescent="0.2">
      <c r="A1" s="16" t="s">
        <v>52</v>
      </c>
    </row>
    <row r="2" spans="1:11" x14ac:dyDescent="0.2">
      <c r="A2" s="29" t="s">
        <v>83</v>
      </c>
    </row>
    <row r="3" spans="1:11" x14ac:dyDescent="0.2">
      <c r="A3" t="s">
        <v>75</v>
      </c>
      <c r="D3" s="16" t="s">
        <v>58</v>
      </c>
    </row>
    <row r="4" spans="1:11" x14ac:dyDescent="0.2">
      <c r="A4" t="s">
        <v>82</v>
      </c>
    </row>
    <row r="6" spans="1:11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  <c r="K6" t="s">
        <v>229</v>
      </c>
    </row>
    <row r="7" spans="1:11" x14ac:dyDescent="0.2">
      <c r="A7" s="33" t="s">
        <v>102</v>
      </c>
      <c r="B7" s="6" t="s">
        <v>71</v>
      </c>
      <c r="C7" s="6" t="s">
        <v>69</v>
      </c>
      <c r="D7" s="6" t="s">
        <v>77</v>
      </c>
      <c r="E7" s="6">
        <v>0.75</v>
      </c>
      <c r="F7" s="6"/>
      <c r="H7" s="42"/>
      <c r="K7">
        <f>SUM(E7:E10)</f>
        <v>1</v>
      </c>
    </row>
    <row r="8" spans="1:11" x14ac:dyDescent="0.2">
      <c r="A8" s="7" t="s">
        <v>85</v>
      </c>
      <c r="B8" s="7" t="s">
        <v>70</v>
      </c>
      <c r="C8" s="7" t="s">
        <v>69</v>
      </c>
      <c r="D8" s="7" t="s">
        <v>77</v>
      </c>
      <c r="E8" s="7">
        <v>0.1</v>
      </c>
      <c r="F8" s="7"/>
    </row>
    <row r="9" spans="1:11" x14ac:dyDescent="0.2">
      <c r="A9" s="6" t="s">
        <v>129</v>
      </c>
      <c r="B9" s="6" t="s">
        <v>70</v>
      </c>
      <c r="C9" s="6" t="s">
        <v>69</v>
      </c>
      <c r="D9" s="6" t="s">
        <v>77</v>
      </c>
      <c r="E9" s="6">
        <v>0.1</v>
      </c>
      <c r="F9" s="6"/>
      <c r="I9" t="s">
        <v>197</v>
      </c>
    </row>
    <row r="10" spans="1:11" x14ac:dyDescent="0.2">
      <c r="A10" s="6" t="s">
        <v>213</v>
      </c>
      <c r="B10" s="6" t="s">
        <v>71</v>
      </c>
      <c r="C10" s="6" t="s">
        <v>69</v>
      </c>
      <c r="D10" s="6" t="s">
        <v>77</v>
      </c>
      <c r="E10" s="6">
        <v>0.05</v>
      </c>
      <c r="F10" s="6"/>
    </row>
    <row r="11" spans="1:11" x14ac:dyDescent="0.2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11" x14ac:dyDescent="0.2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11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11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</sheetData>
  <conditionalFormatting sqref="F7:F14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4">
    <cfRule type="expression" dxfId="3" priority="5">
      <formula>AND(OR(B7=select_label, B7=none), AND(A7&lt;&gt;select_label, A7&lt;&gt;none))</formula>
    </cfRule>
  </conditionalFormatting>
  <conditionalFormatting sqref="C7:C14">
    <cfRule type="expression" dxfId="2" priority="4">
      <formula>AND(OR(C7=select_label, C7=none), AND(A7&lt;&gt;select_label, A7&lt;&gt;none))</formula>
    </cfRule>
  </conditionalFormatting>
  <conditionalFormatting sqref="D7:D14">
    <cfRule type="expression" dxfId="1" priority="3">
      <formula>AND(OR(D7=select_label, D7=none), AND(A7&lt;&gt;select_label, A7&lt;&gt;none))</formula>
    </cfRule>
  </conditionalFormatting>
  <conditionalFormatting sqref="E7:E14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4" xr:uid="{00000000-0002-0000-0500-000000000000}">
      <formula1>provinciality</formula1>
    </dataValidation>
    <dataValidation type="list" allowBlank="1" showInputMessage="1" showErrorMessage="1" sqref="A7:A14" xr:uid="{00000000-0002-0000-0500-000001000000}">
      <formula1>allowed_data_channels</formula1>
    </dataValidation>
    <dataValidation type="list" allowBlank="1" showInputMessage="1" showErrorMessage="1" sqref="D7:D14" xr:uid="{00000000-0002-0000-0500-000002000000}">
      <formula1>age_bin_selection</formula1>
    </dataValidation>
    <dataValidation type="list" allowBlank="1" showInputMessage="1" showErrorMessage="1" sqref="B7:B14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>Incidence</v>
      </c>
    </row>
    <row r="7" spans="1:11" x14ac:dyDescent="0.2">
      <c r="H7" s="32" t="str">
        <v/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Z999"/>
  <sheetViews>
    <sheetView topLeftCell="A16" zoomScaleNormal="100" workbookViewId="0">
      <selection activeCell="E13" sqref="E13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98" x14ac:dyDescent="0.2">
      <c r="A1" s="40" t="s">
        <v>103</v>
      </c>
      <c r="B1" s="40" t="s">
        <v>102</v>
      </c>
      <c r="G1" s="42" t="s">
        <v>109</v>
      </c>
    </row>
    <row r="3" spans="1:98" x14ac:dyDescent="0.2">
      <c r="A3" s="42" t="s">
        <v>104</v>
      </c>
    </row>
    <row r="4" spans="1:98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98" x14ac:dyDescent="0.2">
      <c r="A5" s="42" t="s">
        <v>105</v>
      </c>
    </row>
    <row r="6" spans="1:98" x14ac:dyDescent="0.2">
      <c r="A6" s="45" t="s">
        <v>106</v>
      </c>
      <c r="B6" s="44" t="s">
        <v>107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98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102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98" x14ac:dyDescent="0.2">
      <c r="A9" s="44">
        <v>2006</v>
      </c>
      <c r="B9" s="44" t="s">
        <v>228</v>
      </c>
      <c r="C9" s="44" t="s">
        <v>44</v>
      </c>
      <c r="D9" s="44" t="s">
        <v>115</v>
      </c>
      <c r="E9" s="44">
        <v>3.1E-2</v>
      </c>
      <c r="F9" s="44"/>
      <c r="G9" s="44">
        <v>973.34751449092698</v>
      </c>
      <c r="J9" s="42" t="s">
        <v>198</v>
      </c>
      <c r="M9" s="41">
        <f>A9</f>
        <v>2006</v>
      </c>
      <c r="N9" s="41" t="str">
        <f t="shared" ref="N9" si="0">B9</f>
        <v>All</v>
      </c>
      <c r="R9" s="48"/>
      <c r="S9" s="48"/>
      <c r="T9" s="48"/>
    </row>
    <row r="10" spans="1:98" x14ac:dyDescent="0.2">
      <c r="A10" s="43">
        <v>2006</v>
      </c>
      <c r="B10" s="44" t="s">
        <v>228</v>
      </c>
      <c r="C10" s="43" t="s">
        <v>44</v>
      </c>
      <c r="D10" s="43" t="s">
        <v>116</v>
      </c>
      <c r="E10" s="43">
        <v>5.7999999999999899E-2</v>
      </c>
      <c r="F10" s="43"/>
      <c r="G10" s="43">
        <v>555.94580078125</v>
      </c>
      <c r="R10" s="48"/>
      <c r="S10" s="48"/>
      <c r="T10" s="48"/>
    </row>
    <row r="11" spans="1:98" x14ac:dyDescent="0.2">
      <c r="A11" s="44">
        <v>2006</v>
      </c>
      <c r="B11" s="44" t="s">
        <v>228</v>
      </c>
      <c r="C11" s="44" t="s">
        <v>44</v>
      </c>
      <c r="D11" s="44" t="s">
        <v>117</v>
      </c>
      <c r="E11" s="44">
        <v>0.13</v>
      </c>
      <c r="F11" s="44"/>
      <c r="G11" s="44">
        <v>574.13897235576906</v>
      </c>
      <c r="R11" s="48"/>
      <c r="S11" s="48"/>
      <c r="T11" s="48"/>
    </row>
    <row r="12" spans="1:98" x14ac:dyDescent="0.2">
      <c r="A12" s="43">
        <v>2006</v>
      </c>
      <c r="B12" s="44" t="s">
        <v>228</v>
      </c>
      <c r="C12" s="43" t="s">
        <v>44</v>
      </c>
      <c r="D12" s="43" t="s">
        <v>118</v>
      </c>
      <c r="E12" s="43">
        <v>0.29499999999999998</v>
      </c>
      <c r="F12" s="43"/>
      <c r="G12" s="43">
        <v>330.96918034957599</v>
      </c>
      <c r="R12" s="48"/>
      <c r="S12" s="48"/>
      <c r="T12" s="48"/>
    </row>
    <row r="13" spans="1:98" x14ac:dyDescent="0.2">
      <c r="A13" s="44">
        <v>2006</v>
      </c>
      <c r="B13" s="44" t="s">
        <v>228</v>
      </c>
      <c r="C13" s="44" t="s">
        <v>44</v>
      </c>
      <c r="D13" s="44" t="s">
        <v>119</v>
      </c>
      <c r="E13" s="44">
        <v>0.32100000000000001</v>
      </c>
      <c r="F13" s="44"/>
      <c r="G13" s="44">
        <v>354.182778426791</v>
      </c>
      <c r="K13" s="41" t="s">
        <v>177</v>
      </c>
      <c r="R13" s="48"/>
      <c r="S13" s="48"/>
      <c r="T13" s="48"/>
      <c r="CQ13" s="41" t="s">
        <v>194</v>
      </c>
    </row>
    <row r="14" spans="1:98" x14ac:dyDescent="0.2">
      <c r="A14" s="43">
        <v>2006</v>
      </c>
      <c r="B14" s="44" t="s">
        <v>228</v>
      </c>
      <c r="C14" s="43" t="s">
        <v>44</v>
      </c>
      <c r="D14" s="43" t="s">
        <v>120</v>
      </c>
      <c r="E14" s="43">
        <v>0.32899999999999902</v>
      </c>
      <c r="F14" s="43"/>
      <c r="G14" s="43">
        <v>201.67753253229401</v>
      </c>
      <c r="R14" s="48"/>
      <c r="S14" s="48"/>
      <c r="T14" s="48"/>
      <c r="CQ14" s="41" t="s">
        <v>180</v>
      </c>
    </row>
    <row r="15" spans="1:98" x14ac:dyDescent="0.2">
      <c r="A15" s="44">
        <v>2006</v>
      </c>
      <c r="B15" s="44" t="s">
        <v>228</v>
      </c>
      <c r="C15" s="44" t="s">
        <v>44</v>
      </c>
      <c r="D15" s="44" t="s">
        <v>121</v>
      </c>
      <c r="E15" s="44">
        <v>0.26</v>
      </c>
      <c r="F15" s="44"/>
      <c r="G15" s="44">
        <v>256.28665865384602</v>
      </c>
      <c r="R15" s="48"/>
      <c r="S15" s="48"/>
      <c r="T15" s="48"/>
    </row>
    <row r="16" spans="1:98" x14ac:dyDescent="0.2">
      <c r="A16" s="43">
        <v>2011</v>
      </c>
      <c r="B16" s="44" t="s">
        <v>228</v>
      </c>
      <c r="C16" s="43" t="s">
        <v>44</v>
      </c>
      <c r="D16" s="43" t="s">
        <v>115</v>
      </c>
      <c r="E16" s="43">
        <v>3.4000000000000002E-2</v>
      </c>
      <c r="F16" s="43"/>
      <c r="G16" s="43">
        <v>1177.51706112132</v>
      </c>
      <c r="R16" s="48"/>
      <c r="S16" s="48"/>
      <c r="T16" s="48"/>
      <c r="CM16" s="41" t="s">
        <v>181</v>
      </c>
      <c r="CP16" s="41" t="s">
        <v>177</v>
      </c>
      <c r="CT16" s="41" t="s">
        <v>182</v>
      </c>
    </row>
    <row r="17" spans="1:102" x14ac:dyDescent="0.2">
      <c r="A17" s="43">
        <v>2011</v>
      </c>
      <c r="B17" s="43" t="s">
        <v>228</v>
      </c>
      <c r="C17" s="43" t="s">
        <v>44</v>
      </c>
      <c r="D17" s="43" t="s">
        <v>116</v>
      </c>
      <c r="E17" s="43">
        <v>3.7999999999999999E-2</v>
      </c>
      <c r="F17" s="43"/>
      <c r="G17" s="43">
        <v>775.99360094572296</v>
      </c>
      <c r="R17" s="48"/>
      <c r="S17" s="48"/>
      <c r="T17" s="48"/>
      <c r="CQ17" s="41" t="s">
        <v>227</v>
      </c>
      <c r="CR17" s="41" t="s">
        <v>217</v>
      </c>
      <c r="CS17" s="41" t="s">
        <v>218</v>
      </c>
      <c r="CT17" s="41" t="s">
        <v>227</v>
      </c>
      <c r="CU17" s="41" t="s">
        <v>217</v>
      </c>
      <c r="CV17" s="41" t="s">
        <v>218</v>
      </c>
    </row>
    <row r="18" spans="1:102" x14ac:dyDescent="0.2">
      <c r="A18" s="44">
        <v>2011</v>
      </c>
      <c r="B18" s="43" t="s">
        <v>228</v>
      </c>
      <c r="C18" s="44" t="s">
        <v>44</v>
      </c>
      <c r="D18" s="44" t="s">
        <v>117</v>
      </c>
      <c r="E18" s="44">
        <v>0.10299999999999999</v>
      </c>
      <c r="F18" s="44"/>
      <c r="G18" s="44">
        <v>700.904296875</v>
      </c>
      <c r="R18" s="48"/>
      <c r="S18" s="48"/>
      <c r="T18" s="48"/>
      <c r="CM18" s="41">
        <v>2015.5</v>
      </c>
      <c r="CN18" s="41" t="s">
        <v>176</v>
      </c>
      <c r="CO18" s="41" t="s">
        <v>43</v>
      </c>
      <c r="CP18" s="41" t="s">
        <v>115</v>
      </c>
      <c r="CQ18" s="41">
        <f>CT18/100</f>
        <v>3.3000000000000002E-2</v>
      </c>
      <c r="CR18" s="41">
        <f>CU18/100</f>
        <v>2.1000000000000001E-2</v>
      </c>
      <c r="CS18" s="41">
        <f>CV18/100</f>
        <v>4.5999999999999999E-2</v>
      </c>
      <c r="CT18" s="41">
        <v>3.3</v>
      </c>
      <c r="CU18" s="48">
        <v>2.1</v>
      </c>
      <c r="CV18" s="48">
        <v>4.5999999999999996</v>
      </c>
      <c r="CX18" s="41" t="s">
        <v>184</v>
      </c>
    </row>
    <row r="19" spans="1:102" x14ac:dyDescent="0.2">
      <c r="A19" s="43">
        <v>2011</v>
      </c>
      <c r="B19" s="43" t="s">
        <v>228</v>
      </c>
      <c r="C19" s="43" t="s">
        <v>44</v>
      </c>
      <c r="D19" s="43" t="s">
        <v>118</v>
      </c>
      <c r="E19" s="43">
        <v>0.17399999999999999</v>
      </c>
      <c r="F19" s="43"/>
      <c r="G19" s="43">
        <v>681.26079831178095</v>
      </c>
      <c r="R19" s="48"/>
      <c r="S19" s="48"/>
      <c r="T19" s="48"/>
      <c r="CM19" s="41">
        <v>2015.5</v>
      </c>
      <c r="CN19" s="41" t="s">
        <v>176</v>
      </c>
      <c r="CO19" s="41" t="s">
        <v>43</v>
      </c>
      <c r="CP19" s="41" t="s">
        <v>116</v>
      </c>
      <c r="CQ19" s="41">
        <f t="shared" ref="CQ19:CQ25" si="1">CT19/100</f>
        <v>6.4000000000000001E-2</v>
      </c>
      <c r="CR19" s="41">
        <f t="shared" ref="CR19:CS43" si="2">CU19/100</f>
        <v>4.7E-2</v>
      </c>
      <c r="CS19" s="41">
        <f t="shared" si="2"/>
        <v>8.1000000000000003E-2</v>
      </c>
      <c r="CT19" s="41">
        <v>6.4</v>
      </c>
      <c r="CU19" s="48">
        <v>4.7</v>
      </c>
      <c r="CV19" s="48">
        <v>8.1</v>
      </c>
      <c r="CX19" s="41" t="s">
        <v>185</v>
      </c>
    </row>
    <row r="20" spans="1:102" x14ac:dyDescent="0.2">
      <c r="A20" s="44">
        <v>2011</v>
      </c>
      <c r="B20" s="43" t="s">
        <v>228</v>
      </c>
      <c r="C20" s="44" t="s">
        <v>44</v>
      </c>
      <c r="D20" s="44" t="s">
        <v>119</v>
      </c>
      <c r="E20" s="44">
        <v>0.251</v>
      </c>
      <c r="F20" s="44"/>
      <c r="G20" s="44">
        <v>485.21432239790801</v>
      </c>
      <c r="K20" s="41" t="s">
        <v>177</v>
      </c>
      <c r="R20" s="48"/>
      <c r="S20" s="48"/>
      <c r="T20" s="48"/>
      <c r="CM20" s="41">
        <v>2015.5</v>
      </c>
      <c r="CN20" s="41" t="s">
        <v>176</v>
      </c>
      <c r="CO20" s="41" t="s">
        <v>43</v>
      </c>
      <c r="CP20" s="41" t="s">
        <v>117</v>
      </c>
      <c r="CQ20" s="41">
        <f t="shared" si="1"/>
        <v>9.1999999999999998E-2</v>
      </c>
      <c r="CR20" s="41">
        <f t="shared" si="2"/>
        <v>7.2000000000000008E-2</v>
      </c>
      <c r="CS20" s="41">
        <f t="shared" si="2"/>
        <v>0.11199999999999999</v>
      </c>
      <c r="CT20" s="41">
        <v>9.1999999999999993</v>
      </c>
      <c r="CU20" s="48">
        <v>7.2</v>
      </c>
      <c r="CV20" s="48">
        <v>11.2</v>
      </c>
      <c r="CX20" s="41" t="s">
        <v>186</v>
      </c>
    </row>
    <row r="21" spans="1:102" x14ac:dyDescent="0.2">
      <c r="A21" s="43">
        <v>2011</v>
      </c>
      <c r="B21" s="43" t="s">
        <v>228</v>
      </c>
      <c r="C21" s="43" t="s">
        <v>44</v>
      </c>
      <c r="D21" s="43" t="s">
        <v>120</v>
      </c>
      <c r="E21" s="43">
        <v>0.26200000000000001</v>
      </c>
      <c r="F21" s="43"/>
      <c r="G21" s="43">
        <v>410.171949546755</v>
      </c>
      <c r="R21" s="48"/>
      <c r="S21" s="48"/>
      <c r="T21" s="48"/>
      <c r="CM21" s="41">
        <v>2015.5</v>
      </c>
      <c r="CN21" s="41" t="s">
        <v>176</v>
      </c>
      <c r="CO21" s="41" t="s">
        <v>43</v>
      </c>
      <c r="CP21" s="41" t="s">
        <v>118</v>
      </c>
      <c r="CQ21" s="41">
        <f t="shared" si="1"/>
        <v>0.16200000000000001</v>
      </c>
      <c r="CR21" s="41">
        <f t="shared" si="2"/>
        <v>0.129</v>
      </c>
      <c r="CS21" s="41">
        <f t="shared" si="2"/>
        <v>0.19399999999999998</v>
      </c>
      <c r="CT21" s="41">
        <v>16.2</v>
      </c>
      <c r="CU21" s="48">
        <v>12.9</v>
      </c>
      <c r="CV21" s="48">
        <v>19.399999999999999</v>
      </c>
      <c r="CX21" s="41" t="s">
        <v>187</v>
      </c>
    </row>
    <row r="22" spans="1:102" x14ac:dyDescent="0.2">
      <c r="A22" s="44">
        <v>2011</v>
      </c>
      <c r="B22" s="43" t="s">
        <v>228</v>
      </c>
      <c r="C22" s="44" t="s">
        <v>44</v>
      </c>
      <c r="D22" s="44" t="s">
        <v>121</v>
      </c>
      <c r="E22" s="44">
        <v>0.29899999999999999</v>
      </c>
      <c r="F22" s="44"/>
      <c r="G22" s="44">
        <v>279.16973897366199</v>
      </c>
      <c r="R22" s="48"/>
      <c r="S22" s="48"/>
      <c r="T22" s="48"/>
      <c r="CM22" s="41">
        <v>2015.5</v>
      </c>
      <c r="CN22" s="41" t="s">
        <v>176</v>
      </c>
      <c r="CO22" s="41" t="s">
        <v>43</v>
      </c>
      <c r="CP22" s="41" t="s">
        <v>119</v>
      </c>
      <c r="CQ22" s="41">
        <f t="shared" si="1"/>
        <v>0.18100000000000002</v>
      </c>
      <c r="CR22" s="41">
        <f t="shared" si="2"/>
        <v>0.15</v>
      </c>
      <c r="CS22" s="41">
        <f t="shared" si="2"/>
        <v>0.21199999999999999</v>
      </c>
      <c r="CT22" s="41">
        <v>18.100000000000001</v>
      </c>
      <c r="CU22" s="48">
        <v>15</v>
      </c>
      <c r="CV22" s="48">
        <v>21.2</v>
      </c>
      <c r="CX22" s="41" t="s">
        <v>188</v>
      </c>
    </row>
    <row r="23" spans="1:102" x14ac:dyDescent="0.2">
      <c r="A23" s="43">
        <v>2015</v>
      </c>
      <c r="B23" s="43" t="s">
        <v>228</v>
      </c>
      <c r="C23" s="43" t="s">
        <v>44</v>
      </c>
      <c r="D23" s="43" t="s">
        <v>115</v>
      </c>
      <c r="E23" s="43">
        <v>2.5000000000000001E-2</v>
      </c>
      <c r="F23" s="43"/>
      <c r="G23" s="43">
        <v>1488.2578125</v>
      </c>
      <c r="R23" s="48"/>
      <c r="S23" s="48"/>
      <c r="T23" s="48"/>
      <c r="CM23" s="41">
        <v>2015.5</v>
      </c>
      <c r="CN23" s="41" t="s">
        <v>176</v>
      </c>
      <c r="CO23" s="41" t="s">
        <v>43</v>
      </c>
      <c r="CP23" s="41" t="s">
        <v>120</v>
      </c>
      <c r="CQ23" s="41">
        <f t="shared" si="1"/>
        <v>0.19800000000000001</v>
      </c>
      <c r="CR23" s="41">
        <f t="shared" si="2"/>
        <v>0.159</v>
      </c>
      <c r="CS23" s="41">
        <f t="shared" si="2"/>
        <v>0.23699999999999999</v>
      </c>
      <c r="CT23" s="41">
        <v>19.8</v>
      </c>
      <c r="CU23" s="48">
        <v>15.9</v>
      </c>
      <c r="CV23" s="48">
        <v>23.7</v>
      </c>
      <c r="CX23" s="41" t="s">
        <v>189</v>
      </c>
    </row>
    <row r="24" spans="1:102" x14ac:dyDescent="0.2">
      <c r="A24" s="44">
        <v>2015</v>
      </c>
      <c r="B24" s="43" t="s">
        <v>228</v>
      </c>
      <c r="C24" s="44" t="s">
        <v>44</v>
      </c>
      <c r="D24" s="44" t="s">
        <v>116</v>
      </c>
      <c r="E24" s="44">
        <v>3.6999999999999998E-2</v>
      </c>
      <c r="F24" s="44"/>
      <c r="G24" s="44">
        <v>1063.81603673986</v>
      </c>
      <c r="R24" s="48"/>
      <c r="S24" s="48"/>
      <c r="T24" s="48"/>
      <c r="CM24" s="41">
        <v>2015.5</v>
      </c>
      <c r="CN24" s="41" t="s">
        <v>176</v>
      </c>
      <c r="CO24" s="41" t="s">
        <v>43</v>
      </c>
      <c r="CP24" s="41" t="s">
        <v>121</v>
      </c>
      <c r="CQ24" s="41">
        <f t="shared" si="1"/>
        <v>0.16899999999999998</v>
      </c>
      <c r="CR24" s="41">
        <f t="shared" si="2"/>
        <v>0.129</v>
      </c>
      <c r="CS24" s="41">
        <f t="shared" si="2"/>
        <v>0.21</v>
      </c>
      <c r="CT24" s="41">
        <v>16.899999999999999</v>
      </c>
      <c r="CU24" s="48">
        <v>12.9</v>
      </c>
      <c r="CV24" s="48">
        <v>21</v>
      </c>
      <c r="CX24" s="41" t="s">
        <v>190</v>
      </c>
    </row>
    <row r="25" spans="1:102" x14ac:dyDescent="0.2">
      <c r="A25" s="44">
        <v>2015</v>
      </c>
      <c r="B25" s="44" t="s">
        <v>228</v>
      </c>
      <c r="C25" s="44" t="s">
        <v>44</v>
      </c>
      <c r="D25" s="44" t="s">
        <v>117</v>
      </c>
      <c r="E25" s="44">
        <v>7.4999999999999997E-2</v>
      </c>
      <c r="F25" s="43"/>
      <c r="G25" s="44">
        <v>779.43619791666595</v>
      </c>
      <c r="R25" s="48"/>
      <c r="S25" s="48"/>
      <c r="T25" s="48"/>
      <c r="CM25" s="41">
        <v>2015.5</v>
      </c>
      <c r="CN25" s="41" t="s">
        <v>176</v>
      </c>
      <c r="CO25" s="41" t="s">
        <v>43</v>
      </c>
      <c r="CP25" s="41" t="s">
        <v>114</v>
      </c>
      <c r="CQ25" s="41">
        <f t="shared" si="1"/>
        <v>0.10800000000000001</v>
      </c>
      <c r="CR25" s="41">
        <f t="shared" si="2"/>
        <v>9.6000000000000002E-2</v>
      </c>
      <c r="CS25" s="41">
        <f t="shared" si="2"/>
        <v>0.11900000000000001</v>
      </c>
      <c r="CT25" s="41">
        <v>10.8</v>
      </c>
      <c r="CU25" s="48">
        <v>9.6</v>
      </c>
      <c r="CV25" s="48">
        <v>11.9</v>
      </c>
      <c r="CX25" s="41" t="s">
        <v>191</v>
      </c>
    </row>
    <row r="26" spans="1:102" x14ac:dyDescent="0.2">
      <c r="A26" s="43">
        <v>2015</v>
      </c>
      <c r="B26" s="44" t="s">
        <v>228</v>
      </c>
      <c r="C26" s="43" t="s">
        <v>44</v>
      </c>
      <c r="D26" s="43" t="s">
        <v>118</v>
      </c>
      <c r="E26" s="43">
        <v>0.13100000000000001</v>
      </c>
      <c r="F26" s="43"/>
      <c r="G26" s="43">
        <v>502.07412183921701</v>
      </c>
      <c r="R26" s="48"/>
      <c r="S26" s="48"/>
      <c r="T26" s="48"/>
      <c r="CM26" s="41" t="s">
        <v>177</v>
      </c>
      <c r="CN26" s="41" t="s">
        <v>177</v>
      </c>
      <c r="CP26" s="41" t="s">
        <v>177</v>
      </c>
      <c r="CU26" s="48"/>
      <c r="CV26" s="48"/>
    </row>
    <row r="27" spans="1:102" x14ac:dyDescent="0.2">
      <c r="A27" s="44">
        <v>2015</v>
      </c>
      <c r="B27" s="44" t="s">
        <v>228</v>
      </c>
      <c r="C27" s="44" t="s">
        <v>44</v>
      </c>
      <c r="D27" s="44" t="s">
        <v>119</v>
      </c>
      <c r="E27" s="44">
        <v>0.18</v>
      </c>
      <c r="F27" s="43"/>
      <c r="G27" s="44">
        <v>569.848253038194</v>
      </c>
      <c r="R27" s="48"/>
      <c r="S27" s="48"/>
      <c r="T27" s="48"/>
      <c r="CM27" s="41">
        <v>2010</v>
      </c>
      <c r="CN27" s="41" t="s">
        <v>176</v>
      </c>
      <c r="CO27" s="41" t="s">
        <v>43</v>
      </c>
      <c r="CP27" s="41" t="s">
        <v>115</v>
      </c>
      <c r="CQ27" s="41">
        <f t="shared" ref="CQ27:CQ34" si="3">CT27/100</f>
        <v>4.2000000000000003E-2</v>
      </c>
      <c r="CR27" s="41">
        <f t="shared" si="2"/>
        <v>2.7999999999999997E-2</v>
      </c>
      <c r="CS27" s="41">
        <f t="shared" si="2"/>
        <v>5.5E-2</v>
      </c>
      <c r="CT27" s="41">
        <v>4.2</v>
      </c>
      <c r="CU27" s="48">
        <v>2.8</v>
      </c>
      <c r="CV27" s="48">
        <v>5.5</v>
      </c>
      <c r="CX27" s="41" t="s">
        <v>184</v>
      </c>
    </row>
    <row r="28" spans="1:102" x14ac:dyDescent="0.2">
      <c r="A28" s="43">
        <v>2015</v>
      </c>
      <c r="B28" s="44" t="s">
        <v>228</v>
      </c>
      <c r="C28" s="43" t="s">
        <v>44</v>
      </c>
      <c r="D28" s="43" t="s">
        <v>120</v>
      </c>
      <c r="E28" s="43">
        <v>0.27</v>
      </c>
      <c r="F28" s="43"/>
      <c r="G28" s="43">
        <v>334.35427517361097</v>
      </c>
      <c r="R28" s="48"/>
      <c r="S28" s="48"/>
      <c r="T28" s="48"/>
      <c r="CM28" s="41">
        <v>2010</v>
      </c>
      <c r="CN28" s="41" t="s">
        <v>176</v>
      </c>
      <c r="CO28" s="41" t="s">
        <v>43</v>
      </c>
      <c r="CP28" s="41" t="s">
        <v>116</v>
      </c>
      <c r="CQ28" s="41">
        <f t="shared" si="3"/>
        <v>6.4000000000000001E-2</v>
      </c>
      <c r="CR28" s="41">
        <f t="shared" si="2"/>
        <v>4.7E-2</v>
      </c>
      <c r="CS28" s="41">
        <f t="shared" si="2"/>
        <v>8.1000000000000003E-2</v>
      </c>
      <c r="CT28" s="41">
        <v>6.4</v>
      </c>
      <c r="CU28" s="48">
        <v>4.7</v>
      </c>
      <c r="CV28" s="48">
        <v>8.1</v>
      </c>
      <c r="CX28" s="41" t="s">
        <v>185</v>
      </c>
    </row>
    <row r="29" spans="1:102" x14ac:dyDescent="0.2">
      <c r="A29" s="44">
        <v>2015</v>
      </c>
      <c r="B29" s="44" t="s">
        <v>228</v>
      </c>
      <c r="C29" s="44" t="s">
        <v>44</v>
      </c>
      <c r="D29" s="44" t="s">
        <v>121</v>
      </c>
      <c r="E29" s="44">
        <v>0.23199999999999901</v>
      </c>
      <c r="F29" s="43"/>
      <c r="G29" s="44">
        <v>368.95986412311402</v>
      </c>
      <c r="R29" s="48"/>
      <c r="S29" s="48"/>
      <c r="T29" s="48"/>
      <c r="CM29" s="41">
        <v>2010</v>
      </c>
      <c r="CN29" s="41" t="s">
        <v>176</v>
      </c>
      <c r="CO29" s="41" t="s">
        <v>43</v>
      </c>
      <c r="CP29" s="41" t="s">
        <v>117</v>
      </c>
      <c r="CQ29" s="41">
        <f t="shared" si="3"/>
        <v>0.13500000000000001</v>
      </c>
      <c r="CR29" s="41">
        <f t="shared" si="2"/>
        <v>0.11</v>
      </c>
      <c r="CS29" s="41">
        <f t="shared" si="2"/>
        <v>0.161</v>
      </c>
      <c r="CT29" s="41">
        <v>13.5</v>
      </c>
      <c r="CU29" s="48">
        <v>11</v>
      </c>
      <c r="CV29" s="48">
        <v>16.100000000000001</v>
      </c>
      <c r="CX29" s="41" t="s">
        <v>186</v>
      </c>
    </row>
    <row r="30" spans="1:102" x14ac:dyDescent="0.2">
      <c r="A30" s="43">
        <v>2016</v>
      </c>
      <c r="B30" s="44" t="s">
        <v>228</v>
      </c>
      <c r="C30" s="43" t="s">
        <v>44</v>
      </c>
      <c r="D30" s="43" t="s">
        <v>171</v>
      </c>
      <c r="E30" s="43">
        <v>0.01</v>
      </c>
      <c r="F30" s="43"/>
      <c r="G30" s="43">
        <v>925.58996582031205</v>
      </c>
      <c r="K30" s="41" t="s">
        <v>197</v>
      </c>
      <c r="R30" s="48"/>
      <c r="S30" s="48"/>
      <c r="T30" s="48"/>
      <c r="CM30" s="41">
        <v>2010</v>
      </c>
      <c r="CN30" s="41" t="s">
        <v>176</v>
      </c>
      <c r="CO30" s="41" t="s">
        <v>43</v>
      </c>
      <c r="CP30" s="41" t="s">
        <v>118</v>
      </c>
      <c r="CQ30" s="41">
        <f t="shared" si="3"/>
        <v>0.20699999999999999</v>
      </c>
      <c r="CR30" s="41">
        <f t="shared" si="2"/>
        <v>0.17199999999999999</v>
      </c>
      <c r="CS30" s="41">
        <f t="shared" si="2"/>
        <v>0.24299999999999999</v>
      </c>
      <c r="CT30" s="41">
        <v>20.7</v>
      </c>
      <c r="CU30" s="48">
        <v>17.2</v>
      </c>
      <c r="CV30" s="48">
        <v>24.3</v>
      </c>
      <c r="CX30" s="41" t="s">
        <v>187</v>
      </c>
    </row>
    <row r="31" spans="1:102" x14ac:dyDescent="0.2">
      <c r="A31" s="44">
        <v>2016</v>
      </c>
      <c r="B31" s="44" t="s">
        <v>228</v>
      </c>
      <c r="C31" s="44" t="s">
        <v>44</v>
      </c>
      <c r="D31" s="44" t="s">
        <v>123</v>
      </c>
      <c r="E31" s="44">
        <v>2.1999999999999999E-2</v>
      </c>
      <c r="F31" s="43"/>
      <c r="G31" s="44">
        <v>379.94954057173197</v>
      </c>
      <c r="R31" s="48"/>
      <c r="S31" s="48"/>
      <c r="T31" s="48"/>
      <c r="CM31" s="41">
        <v>2010</v>
      </c>
      <c r="CN31" s="41" t="s">
        <v>176</v>
      </c>
      <c r="CO31" s="41" t="s">
        <v>43</v>
      </c>
      <c r="CP31" s="41" t="s">
        <v>119</v>
      </c>
      <c r="CQ31" s="41">
        <f t="shared" si="3"/>
        <v>0.23800000000000002</v>
      </c>
      <c r="CR31" s="41">
        <f t="shared" si="2"/>
        <v>0.19399999999999998</v>
      </c>
      <c r="CS31" s="41">
        <f t="shared" si="2"/>
        <v>0.28100000000000003</v>
      </c>
      <c r="CT31" s="41">
        <v>23.8</v>
      </c>
      <c r="CU31" s="48">
        <v>19.399999999999999</v>
      </c>
      <c r="CV31" s="48">
        <v>28.1</v>
      </c>
      <c r="CX31" s="41" t="s">
        <v>188</v>
      </c>
    </row>
    <row r="32" spans="1:102" x14ac:dyDescent="0.2">
      <c r="A32" s="43">
        <v>2016</v>
      </c>
      <c r="B32" s="44" t="s">
        <v>228</v>
      </c>
      <c r="C32" s="43" t="s">
        <v>44</v>
      </c>
      <c r="D32" s="43" t="s">
        <v>124</v>
      </c>
      <c r="E32" s="43">
        <v>2.1999999999999999E-2</v>
      </c>
      <c r="F32" s="43"/>
      <c r="G32" s="43">
        <v>1467.3116566051101</v>
      </c>
      <c r="R32" s="48"/>
      <c r="S32" s="48"/>
      <c r="T32" s="48"/>
      <c r="CM32" s="41">
        <v>2010</v>
      </c>
      <c r="CN32" s="41" t="s">
        <v>176</v>
      </c>
      <c r="CO32" s="41" t="s">
        <v>43</v>
      </c>
      <c r="CP32" s="41" t="s">
        <v>120</v>
      </c>
      <c r="CQ32" s="41">
        <f t="shared" si="3"/>
        <v>0.20399999999999999</v>
      </c>
      <c r="CR32" s="41">
        <f t="shared" si="2"/>
        <v>0.161</v>
      </c>
      <c r="CS32" s="41">
        <f t="shared" si="2"/>
        <v>0.247</v>
      </c>
      <c r="CT32" s="41">
        <v>20.399999999999999</v>
      </c>
      <c r="CU32" s="48">
        <v>16.100000000000001</v>
      </c>
      <c r="CV32" s="48">
        <v>24.7</v>
      </c>
      <c r="CX32" s="41" t="s">
        <v>189</v>
      </c>
    </row>
    <row r="33" spans="1:103" x14ac:dyDescent="0.2">
      <c r="A33" s="43">
        <v>2016</v>
      </c>
      <c r="B33" s="43" t="s">
        <v>228</v>
      </c>
      <c r="C33" s="43" t="s">
        <v>44</v>
      </c>
      <c r="D33" s="43" t="s">
        <v>115</v>
      </c>
      <c r="E33" s="43">
        <v>3.2000000000000001E-2</v>
      </c>
      <c r="F33" s="43"/>
      <c r="G33" s="43">
        <v>1317.9315795898401</v>
      </c>
      <c r="S33" s="48"/>
      <c r="T33" s="48"/>
      <c r="CM33" s="41">
        <v>2010</v>
      </c>
      <c r="CN33" s="41" t="s">
        <v>176</v>
      </c>
      <c r="CO33" s="41" t="s">
        <v>43</v>
      </c>
      <c r="CP33" s="41" t="s">
        <v>121</v>
      </c>
      <c r="CQ33" s="41">
        <f t="shared" si="3"/>
        <v>0.161</v>
      </c>
      <c r="CR33" s="41">
        <f t="shared" si="2"/>
        <v>0.122</v>
      </c>
      <c r="CS33" s="41">
        <f t="shared" si="2"/>
        <v>0.19899999999999998</v>
      </c>
      <c r="CT33" s="41">
        <v>16.100000000000001</v>
      </c>
      <c r="CU33" s="48">
        <v>12.2</v>
      </c>
      <c r="CV33" s="48">
        <v>19.899999999999999</v>
      </c>
      <c r="CX33" s="41" t="s">
        <v>190</v>
      </c>
    </row>
    <row r="34" spans="1:103" x14ac:dyDescent="0.2">
      <c r="A34" s="44">
        <v>2016</v>
      </c>
      <c r="B34" s="43" t="s">
        <v>228</v>
      </c>
      <c r="C34" s="44" t="s">
        <v>44</v>
      </c>
      <c r="D34" s="44" t="s">
        <v>116</v>
      </c>
      <c r="E34" s="44">
        <v>2.7E-2</v>
      </c>
      <c r="F34" s="44"/>
      <c r="G34" s="44">
        <v>1161.49367042824</v>
      </c>
      <c r="S34" s="48"/>
      <c r="T34" s="48"/>
      <c r="CM34" s="41">
        <v>2010</v>
      </c>
      <c r="CN34" s="41" t="s">
        <v>176</v>
      </c>
      <c r="CO34" s="41" t="s">
        <v>43</v>
      </c>
      <c r="CP34" s="41" t="s">
        <v>114</v>
      </c>
      <c r="CQ34" s="41">
        <f t="shared" si="3"/>
        <v>0.129</v>
      </c>
      <c r="CR34" s="41">
        <f t="shared" si="2"/>
        <v>0.11599999999999999</v>
      </c>
      <c r="CS34" s="41">
        <f t="shared" si="2"/>
        <v>0.14199999999999999</v>
      </c>
      <c r="CT34" s="41">
        <v>12.9</v>
      </c>
      <c r="CU34" s="48">
        <v>11.6</v>
      </c>
      <c r="CV34" s="48">
        <v>14.2</v>
      </c>
      <c r="CX34" s="41" t="s">
        <v>191</v>
      </c>
    </row>
    <row r="35" spans="1:103" x14ac:dyDescent="0.2">
      <c r="A35" s="43">
        <v>2016</v>
      </c>
      <c r="B35" s="43" t="s">
        <v>228</v>
      </c>
      <c r="C35" s="43" t="s">
        <v>44</v>
      </c>
      <c r="D35" s="43" t="s">
        <v>117</v>
      </c>
      <c r="E35" s="43">
        <v>6.6000000000000003E-2</v>
      </c>
      <c r="F35" s="43"/>
      <c r="G35" s="43">
        <v>871.06291429924204</v>
      </c>
      <c r="S35" s="48"/>
      <c r="T35" s="48"/>
      <c r="CO35" s="41" t="s">
        <v>177</v>
      </c>
      <c r="CU35" s="48"/>
      <c r="CV35" s="48"/>
    </row>
    <row r="36" spans="1:103" x14ac:dyDescent="0.2">
      <c r="A36" s="44">
        <v>2016</v>
      </c>
      <c r="B36" s="43" t="s">
        <v>228</v>
      </c>
      <c r="C36" s="44" t="s">
        <v>44</v>
      </c>
      <c r="D36" s="44" t="s">
        <v>118</v>
      </c>
      <c r="E36" s="44">
        <v>0.122</v>
      </c>
      <c r="F36" s="44"/>
      <c r="G36" s="44">
        <v>779.44953893442596</v>
      </c>
      <c r="S36" s="48"/>
      <c r="T36" s="48"/>
      <c r="CM36" s="41">
        <v>2004</v>
      </c>
      <c r="CN36" s="41" t="s">
        <v>176</v>
      </c>
      <c r="CO36" s="41" t="s">
        <v>43</v>
      </c>
      <c r="CP36" s="41" t="s">
        <v>115</v>
      </c>
      <c r="CQ36" s="41">
        <f t="shared" ref="CQ36:CQ43" si="4">CT36/100</f>
        <v>3.7000000000000005E-2</v>
      </c>
      <c r="CR36" s="41">
        <f t="shared" si="2"/>
        <v>1.9E-2</v>
      </c>
      <c r="CS36" s="41">
        <f t="shared" si="2"/>
        <v>5.5E-2</v>
      </c>
      <c r="CT36" s="41">
        <v>3.7</v>
      </c>
      <c r="CU36" s="48">
        <v>1.9</v>
      </c>
      <c r="CV36" s="48">
        <v>5.5</v>
      </c>
      <c r="CX36" s="41" t="s">
        <v>184</v>
      </c>
    </row>
    <row r="37" spans="1:103" x14ac:dyDescent="0.2">
      <c r="A37" s="43">
        <v>2016</v>
      </c>
      <c r="B37" s="43" t="s">
        <v>228</v>
      </c>
      <c r="C37" s="43" t="s">
        <v>44</v>
      </c>
      <c r="D37" s="43" t="s">
        <v>119</v>
      </c>
      <c r="E37" s="43">
        <v>0.19399999999999901</v>
      </c>
      <c r="F37" s="43"/>
      <c r="G37" s="43">
        <v>713.48886517396897</v>
      </c>
      <c r="S37" s="48"/>
      <c r="T37" s="48"/>
      <c r="CM37" s="41">
        <v>2004</v>
      </c>
      <c r="CN37" s="41" t="s">
        <v>176</v>
      </c>
      <c r="CO37" s="41" t="s">
        <v>43</v>
      </c>
      <c r="CP37" s="41" t="s">
        <v>116</v>
      </c>
      <c r="CQ37" s="41">
        <f t="shared" si="4"/>
        <v>0.13200000000000001</v>
      </c>
      <c r="CR37" s="41">
        <f t="shared" si="2"/>
        <v>0.10099999999999999</v>
      </c>
      <c r="CS37" s="41">
        <f t="shared" si="2"/>
        <v>0.16300000000000001</v>
      </c>
      <c r="CT37" s="41">
        <v>13.2</v>
      </c>
      <c r="CU37" s="48">
        <v>10.1</v>
      </c>
      <c r="CV37" s="48">
        <v>16.3</v>
      </c>
      <c r="CX37" s="41" t="s">
        <v>185</v>
      </c>
    </row>
    <row r="38" spans="1:103" x14ac:dyDescent="0.2">
      <c r="A38" s="44">
        <v>2016</v>
      </c>
      <c r="B38" s="43" t="s">
        <v>228</v>
      </c>
      <c r="C38" s="44" t="s">
        <v>44</v>
      </c>
      <c r="D38" s="44" t="s">
        <v>120</v>
      </c>
      <c r="E38" s="44">
        <v>0.254</v>
      </c>
      <c r="F38" s="44"/>
      <c r="G38" s="44">
        <v>575.349693959153</v>
      </c>
      <c r="S38" s="48"/>
      <c r="T38" s="48"/>
      <c r="CM38" s="41">
        <v>2004</v>
      </c>
      <c r="CN38" s="41" t="s">
        <v>176</v>
      </c>
      <c r="CO38" s="41" t="s">
        <v>43</v>
      </c>
      <c r="CP38" s="41" t="s">
        <v>117</v>
      </c>
      <c r="CQ38" s="41">
        <f t="shared" si="4"/>
        <v>0.155</v>
      </c>
      <c r="CR38" s="41">
        <f t="shared" si="2"/>
        <v>0.11900000000000001</v>
      </c>
      <c r="CS38" s="41">
        <f t="shared" si="2"/>
        <v>0.192</v>
      </c>
      <c r="CT38" s="41">
        <v>15.5</v>
      </c>
      <c r="CU38" s="48">
        <v>11.9</v>
      </c>
      <c r="CV38" s="48">
        <v>19.2</v>
      </c>
      <c r="CX38" s="41" t="s">
        <v>186</v>
      </c>
    </row>
    <row r="39" spans="1:103" x14ac:dyDescent="0.2">
      <c r="A39" s="43">
        <v>2016</v>
      </c>
      <c r="B39" s="43" t="s">
        <v>228</v>
      </c>
      <c r="C39" s="43" t="s">
        <v>44</v>
      </c>
      <c r="D39" s="43" t="s">
        <v>121</v>
      </c>
      <c r="E39" s="43">
        <v>0.28100000000000003</v>
      </c>
      <c r="F39" s="43"/>
      <c r="G39" s="43">
        <v>428.41816336743699</v>
      </c>
      <c r="S39" s="48"/>
      <c r="T39" s="48"/>
      <c r="CM39" s="41">
        <v>2004</v>
      </c>
      <c r="CN39" s="41" t="s">
        <v>176</v>
      </c>
      <c r="CO39" s="41" t="s">
        <v>43</v>
      </c>
      <c r="CP39" s="41" t="s">
        <v>118</v>
      </c>
      <c r="CQ39" s="41">
        <f t="shared" si="4"/>
        <v>0.18100000000000002</v>
      </c>
      <c r="CR39" s="41">
        <f t="shared" si="2"/>
        <v>0.13500000000000001</v>
      </c>
      <c r="CS39" s="41">
        <f t="shared" si="2"/>
        <v>0.22600000000000001</v>
      </c>
      <c r="CT39" s="41">
        <v>18.100000000000001</v>
      </c>
      <c r="CU39" s="48">
        <v>13.5</v>
      </c>
      <c r="CV39" s="48">
        <v>22.6</v>
      </c>
      <c r="CX39" s="41" t="s">
        <v>187</v>
      </c>
    </row>
    <row r="40" spans="1:103" x14ac:dyDescent="0.2">
      <c r="A40" s="44">
        <v>2016</v>
      </c>
      <c r="B40" s="43" t="s">
        <v>228</v>
      </c>
      <c r="C40" s="44" t="s">
        <v>44</v>
      </c>
      <c r="D40" s="44" t="s">
        <v>122</v>
      </c>
      <c r="E40" s="44">
        <v>0.28000000000000003</v>
      </c>
      <c r="F40" s="44"/>
      <c r="G40" s="44">
        <v>302.21393694196399</v>
      </c>
      <c r="S40" s="48"/>
      <c r="T40" s="48"/>
      <c r="CM40" s="41">
        <v>2004</v>
      </c>
      <c r="CN40" s="41" t="s">
        <v>176</v>
      </c>
      <c r="CO40" s="41" t="s">
        <v>43</v>
      </c>
      <c r="CP40" s="41" t="s">
        <v>119</v>
      </c>
      <c r="CQ40" s="41">
        <f t="shared" si="4"/>
        <v>0.17</v>
      </c>
      <c r="CR40" s="41">
        <f t="shared" si="2"/>
        <v>0.121</v>
      </c>
      <c r="CS40" s="41">
        <f t="shared" si="2"/>
        <v>0.21899999999999997</v>
      </c>
      <c r="CT40" s="41">
        <v>17</v>
      </c>
      <c r="CU40" s="48">
        <v>12.1</v>
      </c>
      <c r="CV40" s="48">
        <v>21.9</v>
      </c>
      <c r="CX40" s="41" t="s">
        <v>188</v>
      </c>
    </row>
    <row r="41" spans="1:103" x14ac:dyDescent="0.2">
      <c r="A41" s="44">
        <v>2016</v>
      </c>
      <c r="B41" s="44" t="s">
        <v>228</v>
      </c>
      <c r="C41" s="44" t="s">
        <v>44</v>
      </c>
      <c r="D41" s="44" t="s">
        <v>125</v>
      </c>
      <c r="E41" s="44">
        <v>0.24399999999999999</v>
      </c>
      <c r="F41" s="44"/>
      <c r="G41" s="44">
        <v>293.91987384733602</v>
      </c>
      <c r="S41" s="48"/>
      <c r="T41" s="48"/>
      <c r="CM41" s="41">
        <v>2004</v>
      </c>
      <c r="CN41" s="41" t="s">
        <v>176</v>
      </c>
      <c r="CO41" s="41" t="s">
        <v>43</v>
      </c>
      <c r="CP41" s="41" t="s">
        <v>120</v>
      </c>
      <c r="CQ41" s="41">
        <f t="shared" si="4"/>
        <v>0.17899999999999999</v>
      </c>
      <c r="CR41" s="41">
        <f t="shared" si="2"/>
        <v>0.12</v>
      </c>
      <c r="CS41" s="41">
        <f t="shared" si="2"/>
        <v>0.23800000000000002</v>
      </c>
      <c r="CT41" s="41">
        <v>17.899999999999999</v>
      </c>
      <c r="CU41" s="48">
        <v>12</v>
      </c>
      <c r="CV41" s="48">
        <v>23.8</v>
      </c>
      <c r="CX41" s="41" t="s">
        <v>189</v>
      </c>
    </row>
    <row r="42" spans="1:103" x14ac:dyDescent="0.2">
      <c r="A42" s="43">
        <v>2016</v>
      </c>
      <c r="B42" s="44" t="s">
        <v>228</v>
      </c>
      <c r="C42" s="43" t="s">
        <v>44</v>
      </c>
      <c r="D42" s="43" t="s">
        <v>178</v>
      </c>
      <c r="E42" s="43">
        <v>0.16800000000000001</v>
      </c>
      <c r="F42" s="43"/>
      <c r="G42" s="43">
        <v>237.50940522693401</v>
      </c>
      <c r="S42" s="48"/>
      <c r="T42" s="48"/>
      <c r="CM42" s="41">
        <v>2004</v>
      </c>
      <c r="CN42" s="41" t="s">
        <v>176</v>
      </c>
      <c r="CO42" s="41" t="s">
        <v>43</v>
      </c>
      <c r="CP42" s="41" t="s">
        <v>121</v>
      </c>
      <c r="CQ42" s="41">
        <f t="shared" si="4"/>
        <v>0.13300000000000001</v>
      </c>
      <c r="CR42" s="41">
        <f t="shared" si="2"/>
        <v>8.199999999999999E-2</v>
      </c>
      <c r="CS42" s="41">
        <f t="shared" si="2"/>
        <v>0.185</v>
      </c>
      <c r="CT42" s="41">
        <v>13.3</v>
      </c>
      <c r="CU42" s="48">
        <v>8.1999999999999993</v>
      </c>
      <c r="CV42" s="48">
        <v>18.5</v>
      </c>
      <c r="CX42" s="41" t="s">
        <v>190</v>
      </c>
    </row>
    <row r="43" spans="1:103" x14ac:dyDescent="0.2">
      <c r="A43" s="44">
        <v>2006</v>
      </c>
      <c r="B43" s="44" t="s">
        <v>228</v>
      </c>
      <c r="C43" s="44" t="s">
        <v>43</v>
      </c>
      <c r="D43" s="44" t="s">
        <v>115</v>
      </c>
      <c r="E43" s="44">
        <v>6.2E-2</v>
      </c>
      <c r="F43" s="44"/>
      <c r="G43" s="44">
        <v>1000.41955960181</v>
      </c>
      <c r="S43" s="48"/>
      <c r="T43" s="48"/>
      <c r="CM43" s="41">
        <v>2004</v>
      </c>
      <c r="CN43" s="41" t="s">
        <v>176</v>
      </c>
      <c r="CO43" s="41" t="s">
        <v>43</v>
      </c>
      <c r="CP43" s="41" t="s">
        <v>114</v>
      </c>
      <c r="CQ43" s="41">
        <f t="shared" si="4"/>
        <v>0.13300000000000001</v>
      </c>
      <c r="CR43" s="41">
        <f t="shared" si="2"/>
        <v>0.11699999999999999</v>
      </c>
      <c r="CS43" s="41">
        <f t="shared" si="2"/>
        <v>0.14899999999999999</v>
      </c>
      <c r="CT43" s="41">
        <v>13.3</v>
      </c>
      <c r="CU43" s="48">
        <v>11.7</v>
      </c>
      <c r="CV43" s="48">
        <v>14.9</v>
      </c>
      <c r="CX43" s="41" t="s">
        <v>191</v>
      </c>
    </row>
    <row r="44" spans="1:103" x14ac:dyDescent="0.2">
      <c r="A44" s="43">
        <v>2006</v>
      </c>
      <c r="B44" s="44" t="s">
        <v>228</v>
      </c>
      <c r="C44" s="43" t="s">
        <v>43</v>
      </c>
      <c r="D44" s="43" t="s">
        <v>116</v>
      </c>
      <c r="E44" s="43">
        <v>0.16300000000000001</v>
      </c>
      <c r="F44" s="43"/>
      <c r="G44" s="43">
        <v>1527.8744967407899</v>
      </c>
      <c r="S44" s="48"/>
      <c r="T44" s="48"/>
    </row>
    <row r="45" spans="1:103" x14ac:dyDescent="0.2">
      <c r="A45" s="44">
        <v>2006</v>
      </c>
      <c r="B45" s="44" t="s">
        <v>228</v>
      </c>
      <c r="C45" s="44" t="s">
        <v>43</v>
      </c>
      <c r="D45" s="44" t="s">
        <v>117</v>
      </c>
      <c r="E45" s="44">
        <v>0.28799999999999998</v>
      </c>
      <c r="F45" s="44"/>
      <c r="G45" s="44">
        <v>660.638047960069</v>
      </c>
      <c r="S45" s="48"/>
      <c r="T45" s="48"/>
      <c r="CQ45" s="48" t="s">
        <v>195</v>
      </c>
    </row>
    <row r="46" spans="1:103" x14ac:dyDescent="0.2">
      <c r="A46" s="43">
        <v>2006</v>
      </c>
      <c r="B46" s="44" t="s">
        <v>228</v>
      </c>
      <c r="C46" s="43" t="s">
        <v>43</v>
      </c>
      <c r="D46" s="43" t="s">
        <v>118</v>
      </c>
      <c r="E46" s="43">
        <v>0.35499999999999998</v>
      </c>
      <c r="F46" s="43"/>
      <c r="G46" s="43">
        <v>521.15146346830898</v>
      </c>
      <c r="S46" s="48"/>
      <c r="T46" s="48"/>
    </row>
    <row r="47" spans="1:103" x14ac:dyDescent="0.2">
      <c r="A47" s="44">
        <v>2006</v>
      </c>
      <c r="B47" s="44" t="s">
        <v>228</v>
      </c>
      <c r="C47" s="44" t="s">
        <v>43</v>
      </c>
      <c r="D47" s="44" t="s">
        <v>119</v>
      </c>
      <c r="E47" s="44">
        <v>0.34499999999999997</v>
      </c>
      <c r="F47" s="44"/>
      <c r="G47" s="44">
        <v>526.90987318840496</v>
      </c>
      <c r="S47" s="48"/>
      <c r="T47" s="48"/>
      <c r="CM47" s="41">
        <v>2015.5</v>
      </c>
      <c r="CN47" s="41" t="s">
        <v>176</v>
      </c>
      <c r="CO47" s="41" t="s">
        <v>196</v>
      </c>
      <c r="CP47" s="41" t="s">
        <v>115</v>
      </c>
      <c r="CQ47" s="41">
        <f t="shared" ref="CQ47:CQ54" si="5">CT47/100</f>
        <v>0.01</v>
      </c>
      <c r="CR47" s="41">
        <f t="shared" ref="CR47:CS47" si="6">CU47/100</f>
        <v>5.0000000000000001E-3</v>
      </c>
      <c r="CS47" s="41">
        <f t="shared" si="6"/>
        <v>1.4999999999999999E-2</v>
      </c>
      <c r="CT47" s="48">
        <v>1</v>
      </c>
      <c r="CU47" s="48">
        <v>0.5</v>
      </c>
      <c r="CV47" s="48">
        <v>1.5</v>
      </c>
      <c r="CX47" s="48" t="s">
        <v>183</v>
      </c>
      <c r="CY47" s="48" t="s">
        <v>184</v>
      </c>
    </row>
    <row r="48" spans="1:103" x14ac:dyDescent="0.2">
      <c r="A48" s="43">
        <v>2006</v>
      </c>
      <c r="B48" s="44" t="s">
        <v>228</v>
      </c>
      <c r="C48" s="43" t="s">
        <v>43</v>
      </c>
      <c r="D48" s="43" t="s">
        <v>120</v>
      </c>
      <c r="E48" s="43">
        <v>0.25700000000000001</v>
      </c>
      <c r="F48" s="43"/>
      <c r="G48" s="43">
        <v>404.15944187743099</v>
      </c>
      <c r="S48" s="48"/>
      <c r="T48" s="48"/>
      <c r="CM48" s="41">
        <v>2015.5</v>
      </c>
      <c r="CN48" s="41" t="s">
        <v>176</v>
      </c>
      <c r="CO48" s="41" t="s">
        <v>196</v>
      </c>
      <c r="CP48" s="41" t="s">
        <v>116</v>
      </c>
      <c r="CQ48" s="41">
        <f t="shared" si="5"/>
        <v>1.1000000000000001E-2</v>
      </c>
      <c r="CR48" s="41">
        <f t="shared" ref="CR48:CR72" si="7">CU48/100</f>
        <v>3.0000000000000001E-3</v>
      </c>
      <c r="CS48" s="41">
        <f t="shared" ref="CS48:CS72" si="8">CV48/100</f>
        <v>1.9E-2</v>
      </c>
      <c r="CT48" s="48">
        <v>1.1000000000000001</v>
      </c>
      <c r="CU48" s="48">
        <v>0.3</v>
      </c>
      <c r="CV48" s="48">
        <v>1.9</v>
      </c>
      <c r="CX48" s="48" t="s">
        <v>183</v>
      </c>
      <c r="CY48" s="48" t="s">
        <v>185</v>
      </c>
    </row>
    <row r="49" spans="1:103" x14ac:dyDescent="0.2">
      <c r="A49" s="43">
        <v>2006</v>
      </c>
      <c r="B49" s="43" t="s">
        <v>228</v>
      </c>
      <c r="C49" s="43" t="s">
        <v>43</v>
      </c>
      <c r="D49" s="43" t="s">
        <v>121</v>
      </c>
      <c r="E49" s="43">
        <v>0.18</v>
      </c>
      <c r="F49" s="43"/>
      <c r="G49" s="43">
        <v>336.982177734375</v>
      </c>
      <c r="S49" s="48"/>
      <c r="T49" s="48"/>
      <c r="CM49" s="41">
        <v>2015.5</v>
      </c>
      <c r="CN49" s="41" t="s">
        <v>176</v>
      </c>
      <c r="CO49" s="41" t="s">
        <v>196</v>
      </c>
      <c r="CP49" s="41" t="s">
        <v>117</v>
      </c>
      <c r="CQ49" s="41">
        <f t="shared" si="5"/>
        <v>6.4000000000000001E-2</v>
      </c>
      <c r="CR49" s="41">
        <f t="shared" si="7"/>
        <v>4.2999999999999997E-2</v>
      </c>
      <c r="CS49" s="41">
        <f t="shared" si="8"/>
        <v>8.5999999999999993E-2</v>
      </c>
      <c r="CT49" s="48">
        <v>6.4</v>
      </c>
      <c r="CU49" s="48">
        <v>4.3</v>
      </c>
      <c r="CV49" s="48">
        <v>8.6</v>
      </c>
      <c r="CX49" s="48" t="s">
        <v>183</v>
      </c>
      <c r="CY49" s="48" t="s">
        <v>186</v>
      </c>
    </row>
    <row r="50" spans="1:103" x14ac:dyDescent="0.2">
      <c r="A50" s="44">
        <v>2011</v>
      </c>
      <c r="B50" s="43" t="s">
        <v>228</v>
      </c>
      <c r="C50" s="44" t="s">
        <v>43</v>
      </c>
      <c r="D50" s="44" t="s">
        <v>115</v>
      </c>
      <c r="E50" s="44">
        <v>4.2000000000000003E-2</v>
      </c>
      <c r="F50" s="43"/>
      <c r="G50" s="44">
        <v>1399.5388532366001</v>
      </c>
      <c r="S50" s="48"/>
      <c r="T50" s="48"/>
      <c r="CM50" s="41">
        <v>2015.5</v>
      </c>
      <c r="CN50" s="41" t="s">
        <v>176</v>
      </c>
      <c r="CO50" s="41" t="s">
        <v>196</v>
      </c>
      <c r="CP50" s="41" t="s">
        <v>118</v>
      </c>
      <c r="CQ50" s="41">
        <f t="shared" si="5"/>
        <v>9.1999999999999998E-2</v>
      </c>
      <c r="CR50" s="41">
        <f t="shared" si="7"/>
        <v>6.6000000000000003E-2</v>
      </c>
      <c r="CS50" s="41">
        <f t="shared" si="8"/>
        <v>0.11699999999999999</v>
      </c>
      <c r="CT50" s="48">
        <v>9.1999999999999993</v>
      </c>
      <c r="CU50" s="48">
        <v>6.6</v>
      </c>
      <c r="CV50" s="48">
        <v>11.7</v>
      </c>
      <c r="CX50" s="48" t="s">
        <v>183</v>
      </c>
      <c r="CY50" s="48" t="s">
        <v>187</v>
      </c>
    </row>
    <row r="51" spans="1:103" x14ac:dyDescent="0.2">
      <c r="A51" s="43">
        <v>2011</v>
      </c>
      <c r="B51" s="43" t="s">
        <v>228</v>
      </c>
      <c r="C51" s="43" t="s">
        <v>43</v>
      </c>
      <c r="D51" s="43" t="s">
        <v>116</v>
      </c>
      <c r="E51" s="43">
        <v>0.106</v>
      </c>
      <c r="F51" s="43"/>
      <c r="G51" s="43">
        <v>1345.22825766509</v>
      </c>
      <c r="S51" s="48"/>
      <c r="T51" s="48"/>
      <c r="CM51" s="41">
        <v>2015.5</v>
      </c>
      <c r="CN51" s="41" t="s">
        <v>176</v>
      </c>
      <c r="CO51" s="41" t="s">
        <v>196</v>
      </c>
      <c r="CP51" s="41" t="s">
        <v>119</v>
      </c>
      <c r="CQ51" s="41">
        <f t="shared" si="5"/>
        <v>0.11800000000000001</v>
      </c>
      <c r="CR51" s="41">
        <f t="shared" si="7"/>
        <v>8.8000000000000009E-2</v>
      </c>
      <c r="CS51" s="41">
        <f t="shared" si="8"/>
        <v>0.14899999999999999</v>
      </c>
      <c r="CT51" s="48">
        <v>11.8</v>
      </c>
      <c r="CU51" s="48">
        <v>8.8000000000000007</v>
      </c>
      <c r="CV51" s="48">
        <v>14.9</v>
      </c>
      <c r="CX51" s="48" t="s">
        <v>183</v>
      </c>
      <c r="CY51" s="48" t="s">
        <v>188</v>
      </c>
    </row>
    <row r="52" spans="1:103" x14ac:dyDescent="0.2">
      <c r="A52" s="44">
        <v>2011</v>
      </c>
      <c r="B52" s="43" t="s">
        <v>228</v>
      </c>
      <c r="C52" s="44" t="s">
        <v>43</v>
      </c>
      <c r="D52" s="44" t="s">
        <v>117</v>
      </c>
      <c r="E52" s="44">
        <v>0.20100000000000001</v>
      </c>
      <c r="F52" s="43"/>
      <c r="G52" s="44">
        <v>1165.6520911069599</v>
      </c>
      <c r="S52" s="48"/>
      <c r="T52" s="48"/>
      <c r="CM52" s="41">
        <v>2015.5</v>
      </c>
      <c r="CN52" s="41" t="s">
        <v>176</v>
      </c>
      <c r="CO52" s="41" t="s">
        <v>196</v>
      </c>
      <c r="CP52" s="41" t="s">
        <v>120</v>
      </c>
      <c r="CQ52" s="41">
        <f t="shared" si="5"/>
        <v>0.14000000000000001</v>
      </c>
      <c r="CR52" s="41">
        <f t="shared" si="7"/>
        <v>0.10199999999999999</v>
      </c>
      <c r="CS52" s="41">
        <f t="shared" si="8"/>
        <v>0.17699999999999999</v>
      </c>
      <c r="CT52" s="48">
        <v>14</v>
      </c>
      <c r="CU52" s="48">
        <v>10.199999999999999</v>
      </c>
      <c r="CV52" s="48">
        <v>17.7</v>
      </c>
      <c r="CX52" s="48" t="s">
        <v>183</v>
      </c>
      <c r="CY52" s="48" t="s">
        <v>189</v>
      </c>
    </row>
    <row r="53" spans="1:103" x14ac:dyDescent="0.2">
      <c r="A53" s="43">
        <v>2011</v>
      </c>
      <c r="B53" s="43" t="s">
        <v>228</v>
      </c>
      <c r="C53" s="43" t="s">
        <v>43</v>
      </c>
      <c r="D53" s="43" t="s">
        <v>118</v>
      </c>
      <c r="E53" s="43">
        <v>0.28999999999999998</v>
      </c>
      <c r="F53" s="43"/>
      <c r="G53" s="43">
        <v>793.71982758620697</v>
      </c>
      <c r="S53" s="48"/>
      <c r="T53" s="48"/>
      <c r="CM53" s="41">
        <v>2015.5</v>
      </c>
      <c r="CN53" s="41" t="s">
        <v>176</v>
      </c>
      <c r="CO53" s="41" t="s">
        <v>196</v>
      </c>
      <c r="CP53" s="41" t="s">
        <v>121</v>
      </c>
      <c r="CQ53" s="41">
        <f t="shared" si="5"/>
        <v>0.192</v>
      </c>
      <c r="CR53" s="41">
        <f t="shared" si="7"/>
        <v>0.14400000000000002</v>
      </c>
      <c r="CS53" s="41">
        <f t="shared" si="8"/>
        <v>0.24100000000000002</v>
      </c>
      <c r="CT53" s="48">
        <v>19.2</v>
      </c>
      <c r="CU53" s="48">
        <v>14.4</v>
      </c>
      <c r="CV53" s="48">
        <v>24.1</v>
      </c>
      <c r="CX53" s="48" t="s">
        <v>183</v>
      </c>
      <c r="CY53" s="48" t="s">
        <v>190</v>
      </c>
    </row>
    <row r="54" spans="1:103" x14ac:dyDescent="0.2">
      <c r="A54" s="44">
        <v>2011</v>
      </c>
      <c r="B54" s="43" t="s">
        <v>228</v>
      </c>
      <c r="C54" s="44" t="s">
        <v>43</v>
      </c>
      <c r="D54" s="44" t="s">
        <v>119</v>
      </c>
      <c r="E54" s="44">
        <v>0.29099999999999998</v>
      </c>
      <c r="F54" s="43"/>
      <c r="G54" s="44">
        <v>725.96856207044596</v>
      </c>
      <c r="S54" s="48"/>
      <c r="T54" s="48"/>
      <c r="CM54" s="41">
        <v>2015.5</v>
      </c>
      <c r="CN54" s="41" t="s">
        <v>176</v>
      </c>
      <c r="CO54" s="41" t="s">
        <v>196</v>
      </c>
      <c r="CP54" s="41" t="s">
        <v>114</v>
      </c>
      <c r="CQ54" s="41">
        <f t="shared" si="5"/>
        <v>6.4000000000000001E-2</v>
      </c>
      <c r="CR54" s="41">
        <f t="shared" si="7"/>
        <v>5.5999999999999994E-2</v>
      </c>
      <c r="CS54" s="41">
        <f t="shared" si="8"/>
        <v>7.2999999999999995E-2</v>
      </c>
      <c r="CT54" s="48">
        <v>6.4</v>
      </c>
      <c r="CU54" s="48">
        <v>5.6</v>
      </c>
      <c r="CV54" s="48">
        <v>7.3</v>
      </c>
      <c r="CX54" s="48" t="s">
        <v>183</v>
      </c>
      <c r="CY54" s="48" t="s">
        <v>191</v>
      </c>
    </row>
    <row r="55" spans="1:103" x14ac:dyDescent="0.2">
      <c r="A55" s="43">
        <v>2011</v>
      </c>
      <c r="B55" s="43" t="s">
        <v>228</v>
      </c>
      <c r="C55" s="43" t="s">
        <v>43</v>
      </c>
      <c r="D55" s="43" t="s">
        <v>120</v>
      </c>
      <c r="E55" s="43">
        <v>0.25700000000000001</v>
      </c>
      <c r="F55" s="43"/>
      <c r="G55" s="43">
        <v>494.04974008997999</v>
      </c>
      <c r="S55" s="48"/>
      <c r="T55" s="48"/>
      <c r="CQ55" s="41" t="s">
        <v>177</v>
      </c>
      <c r="CR55" s="41" t="s">
        <v>177</v>
      </c>
      <c r="CS55" s="41" t="s">
        <v>177</v>
      </c>
      <c r="CU55" s="48"/>
      <c r="CV55" s="48"/>
    </row>
    <row r="56" spans="1:103" x14ac:dyDescent="0.2">
      <c r="A56" s="44">
        <v>2011</v>
      </c>
      <c r="B56" s="43" t="s">
        <v>228</v>
      </c>
      <c r="C56" s="44" t="s">
        <v>43</v>
      </c>
      <c r="D56" s="44" t="s">
        <v>121</v>
      </c>
      <c r="E56" s="44">
        <v>0.22500000000000001</v>
      </c>
      <c r="F56" s="43"/>
      <c r="G56" s="44">
        <v>406.71484375</v>
      </c>
      <c r="S56" s="48"/>
      <c r="T56" s="48"/>
      <c r="CM56" s="41">
        <v>2010</v>
      </c>
      <c r="CN56" s="41" t="s">
        <v>176</v>
      </c>
      <c r="CO56" s="41" t="s">
        <v>196</v>
      </c>
      <c r="CP56" s="41" t="s">
        <v>115</v>
      </c>
      <c r="CQ56" s="41">
        <f t="shared" ref="CQ56:CQ63" si="9">CT56/100</f>
        <v>1.3000000000000001E-2</v>
      </c>
      <c r="CR56" s="41">
        <f t="shared" si="7"/>
        <v>4.0000000000000001E-3</v>
      </c>
      <c r="CS56" s="41">
        <f t="shared" si="8"/>
        <v>2.2000000000000002E-2</v>
      </c>
      <c r="CT56" s="48">
        <v>1.3</v>
      </c>
      <c r="CU56" s="48">
        <v>0.4</v>
      </c>
      <c r="CV56" s="48">
        <v>2.2000000000000002</v>
      </c>
      <c r="CX56" s="48" t="s">
        <v>192</v>
      </c>
      <c r="CY56" s="48" t="s">
        <v>184</v>
      </c>
    </row>
    <row r="57" spans="1:103" x14ac:dyDescent="0.2">
      <c r="A57" s="44">
        <v>2015</v>
      </c>
      <c r="B57" s="44" t="s">
        <v>228</v>
      </c>
      <c r="C57" s="44" t="s">
        <v>43</v>
      </c>
      <c r="D57" s="44" t="s">
        <v>115</v>
      </c>
      <c r="E57" s="44">
        <v>0.04</v>
      </c>
      <c r="F57" s="44"/>
      <c r="G57" s="44">
        <v>1367.71337890625</v>
      </c>
      <c r="CM57" s="41">
        <v>2010</v>
      </c>
      <c r="CN57" s="41" t="s">
        <v>176</v>
      </c>
      <c r="CO57" s="41" t="s">
        <v>196</v>
      </c>
      <c r="CP57" s="41" t="s">
        <v>116</v>
      </c>
      <c r="CQ57" s="41">
        <f t="shared" si="9"/>
        <v>2.7999999999999997E-2</v>
      </c>
      <c r="CR57" s="41">
        <f t="shared" si="7"/>
        <v>1.3999999999999999E-2</v>
      </c>
      <c r="CS57" s="41">
        <f t="shared" si="8"/>
        <v>4.2000000000000003E-2</v>
      </c>
      <c r="CT57" s="48">
        <v>2.8</v>
      </c>
      <c r="CU57" s="48">
        <v>1.4</v>
      </c>
      <c r="CV57" s="48">
        <v>4.2</v>
      </c>
      <c r="CX57" s="48" t="s">
        <v>192</v>
      </c>
      <c r="CY57" s="48" t="s">
        <v>185</v>
      </c>
    </row>
    <row r="58" spans="1:103" x14ac:dyDescent="0.2">
      <c r="A58" s="43">
        <v>2015</v>
      </c>
      <c r="B58" s="44" t="s">
        <v>228</v>
      </c>
      <c r="C58" s="43" t="s">
        <v>43</v>
      </c>
      <c r="D58" s="43" t="s">
        <v>116</v>
      </c>
      <c r="E58" s="43">
        <v>0.10299999999999999</v>
      </c>
      <c r="F58" s="43"/>
      <c r="G58" s="43">
        <v>889.93550895024202</v>
      </c>
      <c r="CM58" s="41">
        <v>2010</v>
      </c>
      <c r="CN58" s="41" t="s">
        <v>176</v>
      </c>
      <c r="CO58" s="41" t="s">
        <v>196</v>
      </c>
      <c r="CP58" s="41" t="s">
        <v>117</v>
      </c>
      <c r="CQ58" s="41">
        <f t="shared" si="9"/>
        <v>6.9000000000000006E-2</v>
      </c>
      <c r="CR58" s="41">
        <f t="shared" si="7"/>
        <v>4.7E-2</v>
      </c>
      <c r="CS58" s="41">
        <f t="shared" si="8"/>
        <v>9.1999999999999998E-2</v>
      </c>
      <c r="CT58" s="48">
        <v>6.9</v>
      </c>
      <c r="CU58" s="48">
        <v>4.7</v>
      </c>
      <c r="CV58" s="48">
        <v>9.1999999999999993</v>
      </c>
      <c r="CX58" s="48" t="s">
        <v>192</v>
      </c>
      <c r="CY58" s="48" t="s">
        <v>186</v>
      </c>
    </row>
    <row r="59" spans="1:103" x14ac:dyDescent="0.2">
      <c r="A59" s="44">
        <v>2015</v>
      </c>
      <c r="B59" s="44" t="s">
        <v>228</v>
      </c>
      <c r="C59" s="44" t="s">
        <v>43</v>
      </c>
      <c r="D59" s="44" t="s">
        <v>117</v>
      </c>
      <c r="E59" s="44">
        <v>0.155</v>
      </c>
      <c r="F59" s="44"/>
      <c r="G59" s="44">
        <v>1039.9447454637</v>
      </c>
      <c r="CM59" s="41">
        <v>2010</v>
      </c>
      <c r="CN59" s="41" t="s">
        <v>176</v>
      </c>
      <c r="CO59" s="41" t="s">
        <v>196</v>
      </c>
      <c r="CP59" s="41" t="s">
        <v>118</v>
      </c>
      <c r="CQ59" s="41">
        <f t="shared" si="9"/>
        <v>0.107</v>
      </c>
      <c r="CR59" s="41">
        <f t="shared" si="7"/>
        <v>7.8E-2</v>
      </c>
      <c r="CS59" s="41">
        <f t="shared" si="8"/>
        <v>0.13600000000000001</v>
      </c>
      <c r="CT59" s="48">
        <v>10.7</v>
      </c>
      <c r="CU59" s="48">
        <v>7.8</v>
      </c>
      <c r="CV59" s="48">
        <v>13.6</v>
      </c>
      <c r="CX59" s="48" t="s">
        <v>192</v>
      </c>
      <c r="CY59" s="48" t="s">
        <v>187</v>
      </c>
    </row>
    <row r="60" spans="1:103" x14ac:dyDescent="0.2">
      <c r="A60" s="43">
        <v>2015</v>
      </c>
      <c r="B60" s="44" t="s">
        <v>228</v>
      </c>
      <c r="C60" s="43" t="s">
        <v>43</v>
      </c>
      <c r="D60" s="43" t="s">
        <v>118</v>
      </c>
      <c r="E60" s="43">
        <v>0.218999999999999</v>
      </c>
      <c r="F60" s="43"/>
      <c r="G60" s="43">
        <v>900.31367722602704</v>
      </c>
      <c r="CM60" s="41">
        <v>2010</v>
      </c>
      <c r="CN60" s="41" t="s">
        <v>176</v>
      </c>
      <c r="CO60" s="41" t="s">
        <v>196</v>
      </c>
      <c r="CP60" s="41" t="s">
        <v>119</v>
      </c>
      <c r="CQ60" s="41">
        <f t="shared" si="9"/>
        <v>0.182</v>
      </c>
      <c r="CR60" s="41">
        <f t="shared" si="7"/>
        <v>0.14000000000000001</v>
      </c>
      <c r="CS60" s="41">
        <f t="shared" si="8"/>
        <v>0.223</v>
      </c>
      <c r="CT60" s="48">
        <v>18.2</v>
      </c>
      <c r="CU60" s="48">
        <v>14</v>
      </c>
      <c r="CV60" s="48">
        <v>22.3</v>
      </c>
      <c r="CX60" s="48" t="s">
        <v>192</v>
      </c>
      <c r="CY60" s="48" t="s">
        <v>188</v>
      </c>
    </row>
    <row r="61" spans="1:103" x14ac:dyDescent="0.2">
      <c r="A61" s="44">
        <v>2015</v>
      </c>
      <c r="B61" s="44" t="s">
        <v>228</v>
      </c>
      <c r="C61" s="44" t="s">
        <v>43</v>
      </c>
      <c r="D61" s="44" t="s">
        <v>119</v>
      </c>
      <c r="E61" s="44">
        <v>0.28000000000000003</v>
      </c>
      <c r="F61" s="44"/>
      <c r="G61" s="44">
        <v>564.01116071428498</v>
      </c>
      <c r="CM61" s="41">
        <v>2010</v>
      </c>
      <c r="CN61" s="41" t="s">
        <v>176</v>
      </c>
      <c r="CO61" s="41" t="s">
        <v>196</v>
      </c>
      <c r="CP61" s="41" t="s">
        <v>120</v>
      </c>
      <c r="CQ61" s="41">
        <f t="shared" si="9"/>
        <v>0.20800000000000002</v>
      </c>
      <c r="CR61" s="41">
        <f t="shared" si="7"/>
        <v>0.156</v>
      </c>
      <c r="CS61" s="41">
        <f t="shared" si="8"/>
        <v>0.25900000000000001</v>
      </c>
      <c r="CT61" s="48">
        <v>20.8</v>
      </c>
      <c r="CU61" s="48">
        <v>15.6</v>
      </c>
      <c r="CV61" s="48">
        <v>25.9</v>
      </c>
      <c r="CX61" s="48" t="s">
        <v>192</v>
      </c>
      <c r="CY61" s="48" t="s">
        <v>189</v>
      </c>
    </row>
    <row r="62" spans="1:103" x14ac:dyDescent="0.2">
      <c r="A62" s="43">
        <v>2015</v>
      </c>
      <c r="B62" s="44" t="s">
        <v>228</v>
      </c>
      <c r="C62" s="43" t="s">
        <v>43</v>
      </c>
      <c r="D62" s="43" t="s">
        <v>120</v>
      </c>
      <c r="E62" s="43">
        <v>0.313</v>
      </c>
      <c r="F62" s="43"/>
      <c r="G62" s="43">
        <v>635.48162939297094</v>
      </c>
      <c r="CM62" s="41">
        <v>2010</v>
      </c>
      <c r="CN62" s="41" t="s">
        <v>176</v>
      </c>
      <c r="CO62" s="41" t="s">
        <v>196</v>
      </c>
      <c r="CP62" s="41" t="s">
        <v>121</v>
      </c>
      <c r="CQ62" s="41">
        <f t="shared" si="9"/>
        <v>0.15</v>
      </c>
      <c r="CR62" s="41">
        <f t="shared" si="7"/>
        <v>0.10800000000000001</v>
      </c>
      <c r="CS62" s="41">
        <f t="shared" si="8"/>
        <v>0.192</v>
      </c>
      <c r="CT62" s="48">
        <v>15</v>
      </c>
      <c r="CU62" s="48">
        <v>10.8</v>
      </c>
      <c r="CV62" s="48">
        <v>19.2</v>
      </c>
      <c r="CX62" s="48" t="s">
        <v>192</v>
      </c>
      <c r="CY62" s="48" t="s">
        <v>190</v>
      </c>
    </row>
    <row r="63" spans="1:103" x14ac:dyDescent="0.2">
      <c r="A63" s="44">
        <v>2015</v>
      </c>
      <c r="B63" s="44" t="s">
        <v>228</v>
      </c>
      <c r="C63" s="44" t="s">
        <v>43</v>
      </c>
      <c r="D63" s="44" t="s">
        <v>121</v>
      </c>
      <c r="E63" s="44">
        <v>0.24299999999999999</v>
      </c>
      <c r="F63" s="44"/>
      <c r="G63" s="44">
        <v>380.90928015689298</v>
      </c>
      <c r="CM63" s="41">
        <v>2010</v>
      </c>
      <c r="CN63" s="41" t="s">
        <v>176</v>
      </c>
      <c r="CO63" s="41" t="s">
        <v>196</v>
      </c>
      <c r="CP63" s="41" t="s">
        <v>114</v>
      </c>
      <c r="CQ63" s="41">
        <f t="shared" si="9"/>
        <v>8.1000000000000003E-2</v>
      </c>
      <c r="CR63" s="41">
        <f t="shared" si="7"/>
        <v>7.0999999999999994E-2</v>
      </c>
      <c r="CS63" s="41">
        <f t="shared" si="8"/>
        <v>9.1999999999999998E-2</v>
      </c>
      <c r="CT63" s="48">
        <v>8.1</v>
      </c>
      <c r="CU63" s="48">
        <v>7.1</v>
      </c>
      <c r="CV63" s="48">
        <v>9.1999999999999993</v>
      </c>
      <c r="CX63" s="48" t="s">
        <v>192</v>
      </c>
      <c r="CY63" s="48" t="s">
        <v>191</v>
      </c>
    </row>
    <row r="64" spans="1:103" x14ac:dyDescent="0.2">
      <c r="A64" s="43">
        <v>2016</v>
      </c>
      <c r="B64" s="44" t="s">
        <v>228</v>
      </c>
      <c r="C64" s="43" t="s">
        <v>43</v>
      </c>
      <c r="D64" s="43" t="s">
        <v>171</v>
      </c>
      <c r="E64" s="43">
        <v>6.0000000000000001E-3</v>
      </c>
      <c r="F64" s="43"/>
      <c r="G64" s="43">
        <v>1029.6040445963499</v>
      </c>
      <c r="CU64" s="48"/>
      <c r="CV64" s="48"/>
    </row>
    <row r="65" spans="1:104" x14ac:dyDescent="0.2">
      <c r="A65" s="44">
        <v>2016</v>
      </c>
      <c r="B65" s="44" t="s">
        <v>228</v>
      </c>
      <c r="C65" s="44" t="s">
        <v>43</v>
      </c>
      <c r="D65" s="44" t="s">
        <v>123</v>
      </c>
      <c r="E65" s="44">
        <v>1.2999999999999999E-2</v>
      </c>
      <c r="F65" s="44"/>
      <c r="G65" s="44">
        <v>1058.3120868389401</v>
      </c>
      <c r="CM65" s="41">
        <v>2004</v>
      </c>
      <c r="CN65" s="41" t="s">
        <v>176</v>
      </c>
      <c r="CO65" s="41" t="s">
        <v>196</v>
      </c>
      <c r="CP65" s="41" t="s">
        <v>115</v>
      </c>
      <c r="CQ65" s="41">
        <f t="shared" ref="CQ65:CQ72" si="10">CT65/100</f>
        <v>4.0000000000000001E-3</v>
      </c>
      <c r="CR65" s="41">
        <f t="shared" si="7"/>
        <v>0</v>
      </c>
      <c r="CS65" s="41">
        <f t="shared" si="8"/>
        <v>0.01</v>
      </c>
      <c r="CT65" s="48">
        <v>0.4</v>
      </c>
      <c r="CU65" s="48">
        <v>0</v>
      </c>
      <c r="CV65" s="48">
        <v>1</v>
      </c>
      <c r="CX65" s="48" t="s">
        <v>193</v>
      </c>
      <c r="CY65" s="48" t="s">
        <v>184</v>
      </c>
    </row>
    <row r="66" spans="1:104" x14ac:dyDescent="0.2">
      <c r="A66" s="43">
        <v>2016</v>
      </c>
      <c r="B66" s="44" t="s">
        <v>228</v>
      </c>
      <c r="C66" s="43" t="s">
        <v>43</v>
      </c>
      <c r="D66" s="43" t="s">
        <v>124</v>
      </c>
      <c r="E66" s="43">
        <v>2.79999999999999E-2</v>
      </c>
      <c r="F66" s="43"/>
      <c r="G66" s="43">
        <v>799.54146902901698</v>
      </c>
      <c r="CM66" s="41">
        <v>2004</v>
      </c>
      <c r="CN66" s="41" t="s">
        <v>176</v>
      </c>
      <c r="CO66" s="41" t="s">
        <v>196</v>
      </c>
      <c r="CP66" s="41" t="s">
        <v>116</v>
      </c>
      <c r="CQ66" s="41">
        <f t="shared" si="10"/>
        <v>3.9E-2</v>
      </c>
      <c r="CR66" s="41">
        <f t="shared" si="7"/>
        <v>1.7000000000000001E-2</v>
      </c>
      <c r="CS66" s="41">
        <f t="shared" si="8"/>
        <v>0.06</v>
      </c>
      <c r="CT66" s="48">
        <v>3.9</v>
      </c>
      <c r="CU66" s="48">
        <v>1.7</v>
      </c>
      <c r="CV66" s="48">
        <v>6</v>
      </c>
      <c r="CX66" s="48" t="s">
        <v>193</v>
      </c>
      <c r="CY66" s="48" t="s">
        <v>185</v>
      </c>
    </row>
    <row r="67" spans="1:104" x14ac:dyDescent="0.2">
      <c r="A67" s="44">
        <v>2016</v>
      </c>
      <c r="B67" s="44" t="s">
        <v>228</v>
      </c>
      <c r="C67" s="44" t="s">
        <v>43</v>
      </c>
      <c r="D67" s="44" t="s">
        <v>115</v>
      </c>
      <c r="E67" s="44">
        <v>3.9E-2</v>
      </c>
      <c r="F67" s="44"/>
      <c r="G67" s="44">
        <v>1792.4945913461499</v>
      </c>
      <c r="CM67" s="41">
        <v>2004</v>
      </c>
      <c r="CN67" s="41" t="s">
        <v>176</v>
      </c>
      <c r="CO67" s="41" t="s">
        <v>196</v>
      </c>
      <c r="CP67" s="41" t="s">
        <v>117</v>
      </c>
      <c r="CQ67" s="41">
        <f t="shared" si="10"/>
        <v>9.8000000000000004E-2</v>
      </c>
      <c r="CR67" s="41">
        <f t="shared" si="7"/>
        <v>6.5000000000000002E-2</v>
      </c>
      <c r="CS67" s="41">
        <f t="shared" si="8"/>
        <v>0.13100000000000001</v>
      </c>
      <c r="CT67" s="48">
        <v>9.8000000000000007</v>
      </c>
      <c r="CU67" s="48">
        <v>6.5</v>
      </c>
      <c r="CV67" s="48">
        <v>13.1</v>
      </c>
      <c r="CX67" s="48" t="s">
        <v>193</v>
      </c>
      <c r="CY67" s="48" t="s">
        <v>186</v>
      </c>
    </row>
    <row r="68" spans="1:104" x14ac:dyDescent="0.2">
      <c r="A68" s="43">
        <v>2016</v>
      </c>
      <c r="B68" s="44" t="s">
        <v>228</v>
      </c>
      <c r="C68" s="43" t="s">
        <v>43</v>
      </c>
      <c r="D68" s="43" t="s">
        <v>116</v>
      </c>
      <c r="E68" s="43">
        <v>8.1000000000000003E-2</v>
      </c>
      <c r="F68" s="43"/>
      <c r="G68" s="43">
        <v>1357.5973668981401</v>
      </c>
      <c r="CM68" s="41">
        <v>2004</v>
      </c>
      <c r="CN68" s="41" t="s">
        <v>176</v>
      </c>
      <c r="CO68" s="41" t="s">
        <v>196</v>
      </c>
      <c r="CP68" s="41" t="s">
        <v>118</v>
      </c>
      <c r="CQ68" s="41">
        <f t="shared" si="10"/>
        <v>0.20399999999999999</v>
      </c>
      <c r="CR68" s="41">
        <f t="shared" si="7"/>
        <v>0.14599999999999999</v>
      </c>
      <c r="CS68" s="41">
        <f t="shared" si="8"/>
        <v>0.26100000000000001</v>
      </c>
      <c r="CT68" s="48">
        <v>20.399999999999999</v>
      </c>
      <c r="CU68" s="48">
        <v>14.6</v>
      </c>
      <c r="CV68" s="48">
        <v>26.1</v>
      </c>
      <c r="CX68" s="48" t="s">
        <v>193</v>
      </c>
      <c r="CY68" s="48" t="s">
        <v>187</v>
      </c>
    </row>
    <row r="69" spans="1:104" x14ac:dyDescent="0.2">
      <c r="A69" s="44">
        <v>2016</v>
      </c>
      <c r="B69" s="44" t="s">
        <v>228</v>
      </c>
      <c r="C69" s="44" t="s">
        <v>43</v>
      </c>
      <c r="D69" s="44" t="s">
        <v>117</v>
      </c>
      <c r="E69" s="44">
        <v>0.14299999999999999</v>
      </c>
      <c r="F69" s="44"/>
      <c r="G69" s="44">
        <v>1453.60008741258</v>
      </c>
      <c r="CM69" s="41">
        <v>2004</v>
      </c>
      <c r="CN69" s="41" t="s">
        <v>176</v>
      </c>
      <c r="CO69" s="41" t="s">
        <v>196</v>
      </c>
      <c r="CP69" s="41" t="s">
        <v>119</v>
      </c>
      <c r="CQ69" s="41">
        <f t="shared" si="10"/>
        <v>0.184</v>
      </c>
      <c r="CR69" s="41">
        <f t="shared" si="7"/>
        <v>0.11800000000000001</v>
      </c>
      <c r="CS69" s="41">
        <f t="shared" si="8"/>
        <v>0.25</v>
      </c>
      <c r="CT69" s="48">
        <v>18.399999999999999</v>
      </c>
      <c r="CU69" s="48">
        <v>11.8</v>
      </c>
      <c r="CV69" s="48">
        <v>25</v>
      </c>
      <c r="CX69" s="48" t="s">
        <v>193</v>
      </c>
      <c r="CY69" s="48" t="s">
        <v>188</v>
      </c>
    </row>
    <row r="70" spans="1:104" x14ac:dyDescent="0.2">
      <c r="A70" s="43">
        <v>2016</v>
      </c>
      <c r="B70" s="44" t="s">
        <v>228</v>
      </c>
      <c r="C70" s="43" t="s">
        <v>43</v>
      </c>
      <c r="D70" s="43" t="s">
        <v>118</v>
      </c>
      <c r="E70" s="43">
        <v>0.218999999999999</v>
      </c>
      <c r="F70" s="43"/>
      <c r="G70" s="43">
        <v>1294.95194777397</v>
      </c>
      <c r="CM70" s="41">
        <v>2004</v>
      </c>
      <c r="CN70" s="41" t="s">
        <v>176</v>
      </c>
      <c r="CO70" s="41" t="s">
        <v>196</v>
      </c>
      <c r="CP70" s="41" t="s">
        <v>120</v>
      </c>
      <c r="CQ70" s="41">
        <f t="shared" si="10"/>
        <v>0.16500000000000001</v>
      </c>
      <c r="CR70" s="41">
        <f t="shared" si="7"/>
        <v>0.10300000000000001</v>
      </c>
      <c r="CS70" s="41">
        <f t="shared" si="8"/>
        <v>0.22600000000000001</v>
      </c>
      <c r="CT70" s="48">
        <v>16.5</v>
      </c>
      <c r="CU70" s="48">
        <v>10.3</v>
      </c>
      <c r="CV70" s="48">
        <v>22.6</v>
      </c>
      <c r="CX70" s="48" t="s">
        <v>193</v>
      </c>
      <c r="CY70" s="48" t="s">
        <v>189</v>
      </c>
    </row>
    <row r="71" spans="1:104" x14ac:dyDescent="0.2">
      <c r="A71" s="44">
        <v>2016</v>
      </c>
      <c r="B71" s="44" t="s">
        <v>228</v>
      </c>
      <c r="C71" s="44" t="s">
        <v>43</v>
      </c>
      <c r="D71" s="44" t="s">
        <v>119</v>
      </c>
      <c r="E71" s="44">
        <v>0.26600000000000001</v>
      </c>
      <c r="F71" s="44"/>
      <c r="G71" s="44">
        <v>1065.2795905779999</v>
      </c>
      <c r="CM71" s="41">
        <v>2004</v>
      </c>
      <c r="CN71" s="41" t="s">
        <v>176</v>
      </c>
      <c r="CO71" s="41" t="s">
        <v>196</v>
      </c>
      <c r="CP71" s="41" t="s">
        <v>121</v>
      </c>
      <c r="CQ71" s="41">
        <f t="shared" si="10"/>
        <v>9.5000000000000001E-2</v>
      </c>
      <c r="CR71" s="41">
        <f t="shared" si="7"/>
        <v>0.04</v>
      </c>
      <c r="CS71" s="41">
        <f t="shared" si="8"/>
        <v>0.14899999999999999</v>
      </c>
      <c r="CT71" s="48">
        <v>9.5</v>
      </c>
      <c r="CU71" s="48">
        <v>4</v>
      </c>
      <c r="CV71" s="48">
        <v>14.9</v>
      </c>
      <c r="CX71" s="48" t="s">
        <v>193</v>
      </c>
      <c r="CY71" s="48" t="s">
        <v>190</v>
      </c>
    </row>
    <row r="72" spans="1:104" x14ac:dyDescent="0.2">
      <c r="A72" s="43">
        <v>2016</v>
      </c>
      <c r="B72" s="44" t="s">
        <v>228</v>
      </c>
      <c r="C72" s="43" t="s">
        <v>43</v>
      </c>
      <c r="D72" s="43" t="s">
        <v>120</v>
      </c>
      <c r="E72" s="43">
        <v>0.29599999999999999</v>
      </c>
      <c r="F72" s="43"/>
      <c r="G72" s="43">
        <v>859.47198321368205</v>
      </c>
      <c r="CM72" s="41">
        <v>2004</v>
      </c>
      <c r="CN72" s="41" t="s">
        <v>176</v>
      </c>
      <c r="CO72" s="41" t="s">
        <v>196</v>
      </c>
      <c r="CP72" s="41" t="s">
        <v>114</v>
      </c>
      <c r="CQ72" s="41">
        <f t="shared" si="10"/>
        <v>0.10199999999999999</v>
      </c>
      <c r="CR72" s="41">
        <f t="shared" si="7"/>
        <v>8.4000000000000005E-2</v>
      </c>
      <c r="CS72" s="41">
        <f t="shared" si="8"/>
        <v>0.12</v>
      </c>
      <c r="CT72" s="48">
        <v>10.199999999999999</v>
      </c>
      <c r="CU72" s="48">
        <v>8.4</v>
      </c>
      <c r="CV72" s="48">
        <v>12</v>
      </c>
      <c r="CX72" s="48" t="s">
        <v>193</v>
      </c>
      <c r="CY72" s="48" t="s">
        <v>191</v>
      </c>
    </row>
    <row r="73" spans="1:104" x14ac:dyDescent="0.2">
      <c r="A73" s="44">
        <v>2016</v>
      </c>
      <c r="B73" s="44" t="s">
        <v>228</v>
      </c>
      <c r="C73" s="44" t="s">
        <v>43</v>
      </c>
      <c r="D73" s="44" t="s">
        <v>121</v>
      </c>
      <c r="E73" s="44">
        <v>0.28899999999999998</v>
      </c>
      <c r="F73" s="44"/>
      <c r="G73" s="44">
        <v>642.50906952854598</v>
      </c>
    </row>
    <row r="74" spans="1:104" x14ac:dyDescent="0.2">
      <c r="A74" s="43">
        <v>2016</v>
      </c>
      <c r="B74" s="44" t="s">
        <v>228</v>
      </c>
      <c r="C74" s="43" t="s">
        <v>43</v>
      </c>
      <c r="D74" s="43" t="s">
        <v>122</v>
      </c>
      <c r="E74" s="43">
        <v>0.21</v>
      </c>
      <c r="F74" s="43"/>
      <c r="G74" s="43">
        <v>550.35091145833303</v>
      </c>
    </row>
    <row r="75" spans="1:104" x14ac:dyDescent="0.2">
      <c r="A75" s="44">
        <v>2016</v>
      </c>
      <c r="B75" s="44" t="s">
        <v>228</v>
      </c>
      <c r="C75" s="44" t="s">
        <v>43</v>
      </c>
      <c r="D75" s="44" t="s">
        <v>125</v>
      </c>
      <c r="E75" s="44">
        <v>0.17</v>
      </c>
      <c r="F75" s="44"/>
      <c r="G75" s="44">
        <v>563.93422564338198</v>
      </c>
      <c r="CN75" s="41" t="s">
        <v>199</v>
      </c>
    </row>
    <row r="76" spans="1:104" x14ac:dyDescent="0.2">
      <c r="A76" s="43">
        <v>2016</v>
      </c>
      <c r="B76" s="44" t="s">
        <v>228</v>
      </c>
      <c r="C76" s="43" t="s">
        <v>43</v>
      </c>
      <c r="D76" s="43" t="s">
        <v>178</v>
      </c>
      <c r="E76" s="43">
        <v>0.126</v>
      </c>
      <c r="F76" s="43"/>
      <c r="G76" s="43">
        <v>541.05031622023796</v>
      </c>
      <c r="CQ76" s="41" t="s">
        <v>223</v>
      </c>
      <c r="CR76" s="41" t="s">
        <v>217</v>
      </c>
      <c r="CS76" s="41" t="s">
        <v>218</v>
      </c>
    </row>
    <row r="77" spans="1:104" x14ac:dyDescent="0.2">
      <c r="A77" s="43">
        <v>2006</v>
      </c>
      <c r="B77" s="43" t="s">
        <v>228</v>
      </c>
      <c r="C77" s="43" t="s">
        <v>44</v>
      </c>
      <c r="D77" s="43" t="s">
        <v>114</v>
      </c>
      <c r="E77" s="43">
        <v>0.14799999999999999</v>
      </c>
      <c r="F77" s="43"/>
      <c r="G77" s="43">
        <v>2665.576</v>
      </c>
      <c r="CM77" s="41">
        <v>2015</v>
      </c>
      <c r="CN77" s="41" t="s">
        <v>176</v>
      </c>
      <c r="CO77" s="41" t="s">
        <v>200</v>
      </c>
      <c r="CP77" s="41" t="s">
        <v>115</v>
      </c>
      <c r="CQ77" s="41">
        <f>CX77/100</f>
        <v>8.8999999999999999E-3</v>
      </c>
      <c r="CR77" s="41">
        <f>CY77/100</f>
        <v>3.9000000000000003E-3</v>
      </c>
      <c r="CS77" s="41">
        <f>CZ77/100</f>
        <v>1.3899999999999999E-2</v>
      </c>
      <c r="CV77" s="41" t="s">
        <v>201</v>
      </c>
      <c r="CW77" s="41" t="s">
        <v>202</v>
      </c>
      <c r="CX77" s="41">
        <v>0.89</v>
      </c>
      <c r="CY77" s="41">
        <v>0.39</v>
      </c>
      <c r="CZ77" s="41">
        <v>1.39</v>
      </c>
    </row>
    <row r="78" spans="1:104" x14ac:dyDescent="0.2">
      <c r="A78" s="44">
        <v>2006</v>
      </c>
      <c r="B78" s="43" t="s">
        <v>228</v>
      </c>
      <c r="C78" s="44" t="s">
        <v>43</v>
      </c>
      <c r="D78" s="44" t="s">
        <v>114</v>
      </c>
      <c r="E78" s="44">
        <v>0.21099999999999999</v>
      </c>
      <c r="F78" s="44"/>
      <c r="G78" s="44">
        <v>2841.9079999999999</v>
      </c>
      <c r="CM78" s="41">
        <v>2015</v>
      </c>
      <c r="CN78" s="41" t="s">
        <v>176</v>
      </c>
      <c r="CO78" s="41" t="s">
        <v>200</v>
      </c>
      <c r="CP78" s="41" t="s">
        <v>116</v>
      </c>
      <c r="CQ78" s="41">
        <f t="shared" ref="CQ78:CQ96" si="11">CX78/100</f>
        <v>2.3099999999999999E-2</v>
      </c>
      <c r="CR78" s="41">
        <f t="shared" ref="CR78:CR99" si="12">CY78/100</f>
        <v>1.34E-2</v>
      </c>
      <c r="CS78" s="41">
        <f t="shared" ref="CS78:CS99" si="13">CZ78/100</f>
        <v>3.2799999999999996E-2</v>
      </c>
      <c r="CV78" s="41" t="s">
        <v>201</v>
      </c>
      <c r="CW78" s="41" t="s">
        <v>203</v>
      </c>
      <c r="CX78" s="41">
        <v>2.31</v>
      </c>
      <c r="CY78" s="41">
        <v>1.34</v>
      </c>
      <c r="CZ78" s="41">
        <v>3.28</v>
      </c>
    </row>
    <row r="79" spans="1:104" x14ac:dyDescent="0.2">
      <c r="A79" s="44">
        <v>2011</v>
      </c>
      <c r="B79" s="44" t="s">
        <v>228</v>
      </c>
      <c r="C79" s="44" t="s">
        <v>44</v>
      </c>
      <c r="D79" s="44" t="s">
        <v>114</v>
      </c>
      <c r="E79" s="44">
        <v>0.127</v>
      </c>
      <c r="F79" s="44"/>
      <c r="G79" s="44">
        <v>4260.8879999999999</v>
      </c>
      <c r="CM79" s="41">
        <v>2015</v>
      </c>
      <c r="CN79" s="41" t="s">
        <v>176</v>
      </c>
      <c r="CO79" s="41" t="s">
        <v>200</v>
      </c>
      <c r="CP79" s="41" t="s">
        <v>117</v>
      </c>
      <c r="CQ79" s="41">
        <f t="shared" si="11"/>
        <v>4.7199999999999999E-2</v>
      </c>
      <c r="CR79" s="41">
        <f t="shared" si="12"/>
        <v>3.3099999999999997E-2</v>
      </c>
      <c r="CS79" s="41">
        <f t="shared" si="13"/>
        <v>6.13E-2</v>
      </c>
      <c r="CV79" s="41" t="s">
        <v>201</v>
      </c>
      <c r="CW79" s="41" t="s">
        <v>204</v>
      </c>
      <c r="CX79" s="41">
        <v>4.72</v>
      </c>
      <c r="CY79" s="41">
        <v>3.31</v>
      </c>
      <c r="CZ79" s="41">
        <v>6.13</v>
      </c>
    </row>
    <row r="80" spans="1:104" x14ac:dyDescent="0.2">
      <c r="A80" s="43">
        <v>2011</v>
      </c>
      <c r="B80" s="43" t="s">
        <v>228</v>
      </c>
      <c r="C80" s="43" t="s">
        <v>43</v>
      </c>
      <c r="D80" s="43" t="s">
        <v>114</v>
      </c>
      <c r="E80" s="43">
        <v>0.17699999999999999</v>
      </c>
      <c r="F80" s="44"/>
      <c r="G80" s="43">
        <v>4623.8789999999999</v>
      </c>
      <c r="CM80" s="41">
        <v>2015</v>
      </c>
      <c r="CN80" s="41" t="s">
        <v>176</v>
      </c>
      <c r="CO80" s="41" t="s">
        <v>200</v>
      </c>
      <c r="CP80" s="41" t="s">
        <v>118</v>
      </c>
      <c r="CQ80" s="41">
        <f t="shared" si="11"/>
        <v>0.1207</v>
      </c>
      <c r="CR80" s="41">
        <f t="shared" si="12"/>
        <v>9.4299999999999995E-2</v>
      </c>
      <c r="CS80" s="41">
        <f t="shared" si="13"/>
        <v>0.14710000000000001</v>
      </c>
      <c r="CV80" s="41" t="s">
        <v>201</v>
      </c>
      <c r="CW80" s="41" t="s">
        <v>205</v>
      </c>
      <c r="CX80" s="41">
        <v>12.07</v>
      </c>
      <c r="CY80" s="41">
        <v>9.43</v>
      </c>
      <c r="CZ80" s="41">
        <v>14.71</v>
      </c>
    </row>
    <row r="81" spans="1:104" x14ac:dyDescent="0.2">
      <c r="A81" s="44">
        <v>2015</v>
      </c>
      <c r="B81" s="44" t="s">
        <v>228</v>
      </c>
      <c r="C81" s="44" t="s">
        <v>44</v>
      </c>
      <c r="D81" s="44" t="s">
        <v>114</v>
      </c>
      <c r="E81" s="44">
        <v>0.105</v>
      </c>
      <c r="F81" s="44"/>
      <c r="G81" s="44">
        <v>3852.317</v>
      </c>
      <c r="CM81" s="41">
        <v>2015</v>
      </c>
      <c r="CN81" s="41" t="s">
        <v>176</v>
      </c>
      <c r="CO81" s="41" t="s">
        <v>200</v>
      </c>
      <c r="CP81" s="41" t="s">
        <v>119</v>
      </c>
      <c r="CQ81" s="41">
        <f t="shared" si="11"/>
        <v>0.14499999999999999</v>
      </c>
      <c r="CR81" s="41">
        <f t="shared" si="12"/>
        <v>0.11410000000000001</v>
      </c>
      <c r="CS81" s="41">
        <f t="shared" si="13"/>
        <v>0.1759</v>
      </c>
      <c r="CV81" s="41" t="s">
        <v>201</v>
      </c>
      <c r="CW81" s="41" t="s">
        <v>206</v>
      </c>
      <c r="CX81" s="41">
        <v>14.5</v>
      </c>
      <c r="CY81" s="41">
        <v>11.41</v>
      </c>
      <c r="CZ81" s="41">
        <v>17.59</v>
      </c>
    </row>
    <row r="82" spans="1:104" x14ac:dyDescent="0.2">
      <c r="A82" s="43">
        <v>2015</v>
      </c>
      <c r="B82" s="43" t="s">
        <v>228</v>
      </c>
      <c r="C82" s="43" t="s">
        <v>43</v>
      </c>
      <c r="D82" s="43" t="s">
        <v>114</v>
      </c>
      <c r="E82" s="43">
        <v>0.16700000000000001</v>
      </c>
      <c r="F82" s="44"/>
      <c r="G82" s="43">
        <v>4049.98</v>
      </c>
      <c r="CM82" s="41">
        <v>2015</v>
      </c>
      <c r="CN82" s="41" t="s">
        <v>176</v>
      </c>
      <c r="CO82" s="41" t="s">
        <v>200</v>
      </c>
      <c r="CP82" s="41" t="s">
        <v>120</v>
      </c>
      <c r="CQ82" s="41">
        <f t="shared" si="11"/>
        <v>0.1862</v>
      </c>
      <c r="CR82" s="41">
        <f t="shared" si="12"/>
        <v>0.1515</v>
      </c>
      <c r="CS82" s="41">
        <f t="shared" si="13"/>
        <v>0.22089999999999999</v>
      </c>
      <c r="CV82" s="41" t="s">
        <v>201</v>
      </c>
      <c r="CW82" s="41" t="s">
        <v>207</v>
      </c>
      <c r="CX82" s="41">
        <v>18.62</v>
      </c>
      <c r="CY82" s="41">
        <v>15.15</v>
      </c>
      <c r="CZ82" s="41">
        <v>22.09</v>
      </c>
    </row>
    <row r="83" spans="1:104" x14ac:dyDescent="0.2">
      <c r="A83" s="44"/>
      <c r="B83" s="44"/>
      <c r="C83" s="44"/>
      <c r="D83" s="44"/>
      <c r="E83" s="44"/>
      <c r="F83" s="44"/>
      <c r="G83" s="44"/>
      <c r="CM83" s="41">
        <v>2015</v>
      </c>
      <c r="CN83" s="41" t="s">
        <v>176</v>
      </c>
      <c r="CO83" s="41" t="s">
        <v>200</v>
      </c>
      <c r="CP83" s="41" t="s">
        <v>121</v>
      </c>
      <c r="CQ83" s="41">
        <f t="shared" si="11"/>
        <v>0.22109999999999999</v>
      </c>
      <c r="CR83" s="41">
        <f t="shared" si="12"/>
        <v>0.17739999999999997</v>
      </c>
      <c r="CS83" s="41">
        <f t="shared" si="13"/>
        <v>0.26489999999999997</v>
      </c>
      <c r="CV83" s="41" t="s">
        <v>201</v>
      </c>
      <c r="CW83" s="41" t="s">
        <v>208</v>
      </c>
      <c r="CX83" s="41">
        <v>22.11</v>
      </c>
      <c r="CY83" s="41">
        <v>17.739999999999998</v>
      </c>
      <c r="CZ83" s="41">
        <v>26.49</v>
      </c>
    </row>
    <row r="84" spans="1:104" x14ac:dyDescent="0.2">
      <c r="A84" s="43"/>
      <c r="B84" s="43"/>
      <c r="C84" s="43"/>
      <c r="D84" s="43"/>
      <c r="E84" s="43"/>
      <c r="F84" s="44"/>
      <c r="G84" s="43"/>
      <c r="CM84" s="41">
        <v>2015</v>
      </c>
      <c r="CN84" s="41" t="s">
        <v>176</v>
      </c>
      <c r="CO84" s="41" t="s">
        <v>200</v>
      </c>
      <c r="CP84" s="41" t="s">
        <v>122</v>
      </c>
      <c r="CQ84" s="41">
        <f t="shared" si="11"/>
        <v>0.17489999999999997</v>
      </c>
      <c r="CR84" s="41">
        <f t="shared" si="12"/>
        <v>0.12859999999999999</v>
      </c>
      <c r="CS84" s="41">
        <f t="shared" si="13"/>
        <v>0.22120000000000001</v>
      </c>
      <c r="CV84" s="41" t="s">
        <v>201</v>
      </c>
      <c r="CW84" s="41" t="s">
        <v>209</v>
      </c>
      <c r="CX84" s="41">
        <v>17.489999999999998</v>
      </c>
      <c r="CY84" s="41">
        <v>12.86</v>
      </c>
      <c r="CZ84" s="41">
        <v>22.12</v>
      </c>
    </row>
    <row r="85" spans="1:104" x14ac:dyDescent="0.2">
      <c r="A85" s="44"/>
      <c r="B85" s="44"/>
      <c r="C85" s="44"/>
      <c r="D85" s="44"/>
      <c r="E85" s="44"/>
      <c r="F85" s="43"/>
      <c r="G85" s="44"/>
      <c r="CM85" s="41">
        <v>2015</v>
      </c>
      <c r="CN85" s="41" t="s">
        <v>176</v>
      </c>
      <c r="CO85" s="41" t="s">
        <v>200</v>
      </c>
      <c r="CP85" s="41" t="s">
        <v>125</v>
      </c>
      <c r="CQ85" s="41">
        <f t="shared" si="11"/>
        <v>0.14529999999999998</v>
      </c>
      <c r="CR85" s="41">
        <f t="shared" si="12"/>
        <v>0.1011</v>
      </c>
      <c r="CS85" s="41">
        <f t="shared" si="13"/>
        <v>0.18960000000000002</v>
      </c>
      <c r="CV85" s="41" t="s">
        <v>201</v>
      </c>
      <c r="CW85" s="41" t="s">
        <v>210</v>
      </c>
      <c r="CX85" s="41">
        <v>14.53</v>
      </c>
      <c r="CY85" s="41">
        <v>10.11</v>
      </c>
      <c r="CZ85" s="41">
        <v>18.96</v>
      </c>
    </row>
    <row r="86" spans="1:104" x14ac:dyDescent="0.2">
      <c r="A86" s="43"/>
      <c r="B86" s="43"/>
      <c r="C86" s="43"/>
      <c r="D86" s="43"/>
      <c r="E86" s="43"/>
      <c r="F86" s="43"/>
      <c r="G86" s="43"/>
      <c r="CM86" s="41">
        <v>2015</v>
      </c>
      <c r="CN86" s="41" t="s">
        <v>176</v>
      </c>
      <c r="CO86" s="41" t="s">
        <v>200</v>
      </c>
      <c r="CP86" s="41" t="s">
        <v>178</v>
      </c>
      <c r="CQ86" s="41">
        <f t="shared" si="11"/>
        <v>0.10580000000000001</v>
      </c>
      <c r="CR86" s="41">
        <f t="shared" si="12"/>
        <v>6.3E-2</v>
      </c>
      <c r="CS86" s="41">
        <f t="shared" si="13"/>
        <v>0.14859999999999998</v>
      </c>
      <c r="CV86" s="41" t="s">
        <v>201</v>
      </c>
      <c r="CW86" s="41" t="s">
        <v>211</v>
      </c>
      <c r="CX86" s="41">
        <v>10.58</v>
      </c>
      <c r="CY86" s="41">
        <v>6.3</v>
      </c>
      <c r="CZ86" s="41">
        <v>14.86</v>
      </c>
    </row>
    <row r="87" spans="1:104" x14ac:dyDescent="0.2">
      <c r="A87" s="44"/>
      <c r="B87" s="44"/>
      <c r="C87" s="44"/>
      <c r="D87" s="44"/>
      <c r="E87" s="44"/>
      <c r="F87" s="43"/>
      <c r="G87" s="44"/>
      <c r="CM87" s="41">
        <v>2015</v>
      </c>
      <c r="CN87" s="41" t="s">
        <v>176</v>
      </c>
      <c r="CO87" s="41" t="s">
        <v>212</v>
      </c>
      <c r="CP87" s="41" t="s">
        <v>115</v>
      </c>
      <c r="CQ87" s="41">
        <f t="shared" si="11"/>
        <v>2.0099999999999996E-2</v>
      </c>
      <c r="CR87" s="41">
        <f t="shared" si="12"/>
        <v>1.18E-2</v>
      </c>
      <c r="CS87" s="41">
        <f t="shared" si="13"/>
        <v>2.8300000000000002E-2</v>
      </c>
      <c r="CV87" s="41" t="s">
        <v>201</v>
      </c>
      <c r="CW87" s="41" t="s">
        <v>202</v>
      </c>
      <c r="CX87" s="41">
        <v>2.0099999999999998</v>
      </c>
      <c r="CY87" s="41">
        <v>1.18</v>
      </c>
      <c r="CZ87" s="41">
        <v>2.83</v>
      </c>
    </row>
    <row r="88" spans="1:104" x14ac:dyDescent="0.2">
      <c r="A88" s="44"/>
      <c r="B88" s="44"/>
      <c r="C88" s="44"/>
      <c r="D88" s="44"/>
      <c r="E88" s="44"/>
      <c r="F88" s="43"/>
      <c r="G88" s="44"/>
      <c r="CM88" s="41">
        <v>2015</v>
      </c>
      <c r="CN88" s="41" t="s">
        <v>176</v>
      </c>
      <c r="CO88" s="41" t="s">
        <v>212</v>
      </c>
      <c r="CP88" s="41" t="s">
        <v>116</v>
      </c>
      <c r="CQ88" s="41">
        <f t="shared" si="11"/>
        <v>5.1699999999999996E-2</v>
      </c>
      <c r="CR88" s="41">
        <f t="shared" si="12"/>
        <v>3.9599999999999996E-2</v>
      </c>
      <c r="CS88" s="41">
        <f t="shared" si="13"/>
        <v>6.3899999999999998E-2</v>
      </c>
      <c r="CV88" s="41" t="s">
        <v>201</v>
      </c>
      <c r="CW88" s="41" t="s">
        <v>203</v>
      </c>
      <c r="CX88" s="41">
        <v>5.17</v>
      </c>
      <c r="CY88" s="41">
        <v>3.96</v>
      </c>
      <c r="CZ88" s="41">
        <v>6.39</v>
      </c>
    </row>
    <row r="89" spans="1:104" x14ac:dyDescent="0.2">
      <c r="A89" s="43"/>
      <c r="B89" s="43"/>
      <c r="C89" s="43"/>
      <c r="D89" s="43"/>
      <c r="E89" s="43"/>
      <c r="F89" s="43"/>
      <c r="G89" s="43"/>
      <c r="CM89" s="41">
        <v>2015</v>
      </c>
      <c r="CN89" s="41" t="s">
        <v>176</v>
      </c>
      <c r="CO89" s="41" t="s">
        <v>212</v>
      </c>
      <c r="CP89" s="41" t="s">
        <v>117</v>
      </c>
      <c r="CQ89" s="41">
        <f t="shared" si="11"/>
        <v>0.1361</v>
      </c>
      <c r="CR89" s="41">
        <f t="shared" si="12"/>
        <v>0.11380000000000001</v>
      </c>
      <c r="CS89" s="41">
        <f t="shared" si="13"/>
        <v>0.1585</v>
      </c>
      <c r="CV89" s="41" t="s">
        <v>201</v>
      </c>
      <c r="CW89" s="41" t="s">
        <v>204</v>
      </c>
      <c r="CX89" s="41">
        <v>13.61</v>
      </c>
      <c r="CY89" s="41">
        <v>11.38</v>
      </c>
      <c r="CZ89" s="41">
        <v>15.85</v>
      </c>
    </row>
    <row r="90" spans="1:104" x14ac:dyDescent="0.2">
      <c r="A90" s="44"/>
      <c r="B90" s="44"/>
      <c r="C90" s="44"/>
      <c r="D90" s="44"/>
      <c r="E90" s="44"/>
      <c r="F90" s="43"/>
      <c r="G90" s="44"/>
      <c r="CM90" s="41">
        <v>2015</v>
      </c>
      <c r="CN90" s="41" t="s">
        <v>176</v>
      </c>
      <c r="CO90" s="41" t="s">
        <v>212</v>
      </c>
      <c r="CP90" s="41" t="s">
        <v>118</v>
      </c>
      <c r="CQ90" s="41">
        <f t="shared" si="11"/>
        <v>0.17460000000000001</v>
      </c>
      <c r="CR90" s="41">
        <f t="shared" si="12"/>
        <v>0.14990000000000001</v>
      </c>
      <c r="CS90" s="41">
        <f t="shared" si="13"/>
        <v>0.1993</v>
      </c>
      <c r="CV90" s="41" t="s">
        <v>201</v>
      </c>
      <c r="CW90" s="41" t="s">
        <v>205</v>
      </c>
      <c r="CX90" s="41">
        <v>17.46</v>
      </c>
      <c r="CY90" s="41">
        <v>14.99</v>
      </c>
      <c r="CZ90" s="41">
        <v>19.93</v>
      </c>
    </row>
    <row r="91" spans="1:104" x14ac:dyDescent="0.2">
      <c r="A91" s="43"/>
      <c r="B91" s="43"/>
      <c r="C91" s="43"/>
      <c r="D91" s="43"/>
      <c r="E91" s="43"/>
      <c r="F91" s="43"/>
      <c r="G91" s="43"/>
      <c r="CM91" s="41">
        <v>2015</v>
      </c>
      <c r="CN91" s="41" t="s">
        <v>176</v>
      </c>
      <c r="CO91" s="41" t="s">
        <v>212</v>
      </c>
      <c r="CP91" s="41" t="s">
        <v>119</v>
      </c>
      <c r="CQ91" s="41">
        <f t="shared" si="11"/>
        <v>0.22109999999999999</v>
      </c>
      <c r="CR91" s="41">
        <f t="shared" si="12"/>
        <v>0.193</v>
      </c>
      <c r="CS91" s="41">
        <f t="shared" si="13"/>
        <v>0.2492</v>
      </c>
      <c r="CV91" s="41" t="s">
        <v>201</v>
      </c>
      <c r="CW91" s="41" t="s">
        <v>206</v>
      </c>
      <c r="CX91" s="41">
        <v>22.11</v>
      </c>
      <c r="CY91" s="41">
        <v>19.3</v>
      </c>
      <c r="CZ91" s="41">
        <v>24.92</v>
      </c>
    </row>
    <row r="92" spans="1:104" x14ac:dyDescent="0.2">
      <c r="A92" s="44"/>
      <c r="B92" s="44"/>
      <c r="C92" s="44"/>
      <c r="D92" s="44"/>
      <c r="E92" s="44"/>
      <c r="F92" s="43"/>
      <c r="G92" s="44"/>
      <c r="CM92" s="41">
        <v>2015</v>
      </c>
      <c r="CN92" s="41" t="s">
        <v>176</v>
      </c>
      <c r="CO92" s="41" t="s">
        <v>212</v>
      </c>
      <c r="CP92" s="41" t="s">
        <v>120</v>
      </c>
      <c r="CQ92" s="41">
        <f t="shared" si="11"/>
        <v>0.24559999999999998</v>
      </c>
      <c r="CR92" s="41">
        <f t="shared" si="12"/>
        <v>0.20730000000000001</v>
      </c>
      <c r="CS92" s="41">
        <f t="shared" si="13"/>
        <v>0.2838</v>
      </c>
      <c r="CV92" s="41" t="s">
        <v>201</v>
      </c>
      <c r="CW92" s="41" t="s">
        <v>207</v>
      </c>
      <c r="CX92" s="41">
        <v>24.56</v>
      </c>
      <c r="CY92" s="41">
        <v>20.73</v>
      </c>
      <c r="CZ92" s="41">
        <v>28.38</v>
      </c>
    </row>
    <row r="93" spans="1:104" x14ac:dyDescent="0.2">
      <c r="A93" s="43"/>
      <c r="B93" s="43"/>
      <c r="C93" s="43"/>
      <c r="D93" s="43"/>
      <c r="E93" s="43"/>
      <c r="F93" s="43"/>
      <c r="G93" s="43"/>
      <c r="CM93" s="41">
        <v>2015</v>
      </c>
      <c r="CN93" s="41" t="s">
        <v>176</v>
      </c>
      <c r="CO93" s="41" t="s">
        <v>212</v>
      </c>
      <c r="CP93" s="41" t="s">
        <v>121</v>
      </c>
      <c r="CQ93" s="41">
        <f t="shared" si="11"/>
        <v>0.2026</v>
      </c>
      <c r="CR93" s="41">
        <f t="shared" si="12"/>
        <v>0.1628</v>
      </c>
      <c r="CS93" s="41">
        <f t="shared" si="13"/>
        <v>0.24230000000000002</v>
      </c>
      <c r="CV93" s="41" t="s">
        <v>201</v>
      </c>
      <c r="CW93" s="41" t="s">
        <v>208</v>
      </c>
      <c r="CX93" s="41">
        <v>20.260000000000002</v>
      </c>
      <c r="CY93" s="41">
        <v>16.28</v>
      </c>
      <c r="CZ93" s="41">
        <v>24.23</v>
      </c>
    </row>
    <row r="94" spans="1:104" x14ac:dyDescent="0.2">
      <c r="A94" s="44"/>
      <c r="B94" s="44"/>
      <c r="C94" s="44"/>
      <c r="D94" s="44"/>
      <c r="E94" s="44"/>
      <c r="F94" s="43"/>
      <c r="G94" s="44"/>
      <c r="CM94" s="41">
        <v>2015</v>
      </c>
      <c r="CN94" s="41" t="s">
        <v>176</v>
      </c>
      <c r="CO94" s="41" t="s">
        <v>212</v>
      </c>
      <c r="CP94" s="41" t="s">
        <v>122</v>
      </c>
      <c r="CQ94" s="41">
        <f t="shared" si="11"/>
        <v>0.16420000000000001</v>
      </c>
      <c r="CR94" s="41">
        <f t="shared" si="12"/>
        <v>0.12710000000000002</v>
      </c>
      <c r="CS94" s="41">
        <f t="shared" si="13"/>
        <v>0.20129999999999998</v>
      </c>
      <c r="CV94" s="41" t="s">
        <v>201</v>
      </c>
      <c r="CW94" s="41" t="s">
        <v>209</v>
      </c>
      <c r="CX94" s="41">
        <v>16.420000000000002</v>
      </c>
      <c r="CY94" s="41">
        <v>12.71</v>
      </c>
      <c r="CZ94" s="41">
        <v>20.13</v>
      </c>
    </row>
    <row r="95" spans="1:104" x14ac:dyDescent="0.2">
      <c r="A95" s="43"/>
      <c r="B95" s="43"/>
      <c r="C95" s="43"/>
      <c r="D95" s="43"/>
      <c r="E95" s="43"/>
      <c r="F95" s="43"/>
      <c r="G95" s="43"/>
      <c r="CM95" s="41">
        <v>2015</v>
      </c>
      <c r="CN95" s="41" t="s">
        <v>176</v>
      </c>
      <c r="CO95" s="41" t="s">
        <v>212</v>
      </c>
      <c r="CP95" s="41" t="s">
        <v>125</v>
      </c>
      <c r="CQ95" s="41">
        <f t="shared" si="11"/>
        <v>0.161</v>
      </c>
      <c r="CR95" s="41">
        <f t="shared" si="12"/>
        <v>0.1153</v>
      </c>
      <c r="CS95" s="41">
        <f t="shared" si="13"/>
        <v>0.20670000000000002</v>
      </c>
      <c r="CV95" s="41" t="s">
        <v>201</v>
      </c>
      <c r="CW95" s="41" t="s">
        <v>210</v>
      </c>
      <c r="CX95" s="41">
        <v>16.100000000000001</v>
      </c>
      <c r="CY95" s="41">
        <v>11.53</v>
      </c>
      <c r="CZ95" s="41">
        <v>20.67</v>
      </c>
    </row>
    <row r="96" spans="1:104" x14ac:dyDescent="0.2">
      <c r="A96" s="44"/>
      <c r="B96" s="44"/>
      <c r="C96" s="44"/>
      <c r="D96" s="44"/>
      <c r="E96" s="44"/>
      <c r="F96" s="43"/>
      <c r="G96" s="44"/>
      <c r="CM96" s="41">
        <v>2015</v>
      </c>
      <c r="CN96" s="41" t="s">
        <v>176</v>
      </c>
      <c r="CO96" s="41" t="s">
        <v>212</v>
      </c>
      <c r="CP96" s="41" t="s">
        <v>178</v>
      </c>
      <c r="CQ96" s="41">
        <f t="shared" si="11"/>
        <v>0.13880000000000001</v>
      </c>
      <c r="CR96" s="41">
        <f t="shared" si="12"/>
        <v>8.7100000000000011E-2</v>
      </c>
      <c r="CS96" s="41">
        <f t="shared" si="13"/>
        <v>0.1905</v>
      </c>
      <c r="CV96" s="41" t="s">
        <v>201</v>
      </c>
      <c r="CW96" s="41" t="s">
        <v>211</v>
      </c>
      <c r="CX96" s="41">
        <v>13.88</v>
      </c>
      <c r="CY96" s="41">
        <v>8.7100000000000009</v>
      </c>
      <c r="CZ96" s="41">
        <v>19.05</v>
      </c>
    </row>
    <row r="97" spans="1:104" x14ac:dyDescent="0.2">
      <c r="A97" s="43"/>
      <c r="B97" s="43"/>
      <c r="C97" s="43"/>
      <c r="D97" s="43"/>
      <c r="E97" s="43"/>
      <c r="F97" s="43"/>
      <c r="G97" s="43"/>
      <c r="CN97" s="41" t="s">
        <v>177</v>
      </c>
      <c r="CR97" s="41" t="s">
        <v>177</v>
      </c>
      <c r="CS97" s="41" t="s">
        <v>177</v>
      </c>
      <c r="CY97" s="41">
        <v>0.96</v>
      </c>
      <c r="CZ97" s="41">
        <v>1.96</v>
      </c>
    </row>
    <row r="98" spans="1:104" x14ac:dyDescent="0.2">
      <c r="A98" s="44"/>
      <c r="B98" s="44"/>
      <c r="C98" s="44"/>
      <c r="D98" s="44"/>
      <c r="E98" s="44"/>
      <c r="F98" s="44"/>
      <c r="G98" s="44"/>
      <c r="CM98" s="41">
        <v>2015</v>
      </c>
      <c r="CN98" s="41" t="s">
        <v>176</v>
      </c>
      <c r="CO98" s="41" t="s">
        <v>200</v>
      </c>
      <c r="CP98" s="41" t="s">
        <v>114</v>
      </c>
      <c r="CQ98" s="41">
        <f>CX98/100</f>
        <v>7.7699999999999991E-2</v>
      </c>
      <c r="CR98" s="41">
        <f t="shared" si="12"/>
        <v>7.0099999999999996E-2</v>
      </c>
      <c r="CS98" s="41">
        <f t="shared" si="13"/>
        <v>8.5299999999999987E-2</v>
      </c>
      <c r="CX98" s="41">
        <v>7.77</v>
      </c>
      <c r="CY98" s="41">
        <v>7.01</v>
      </c>
      <c r="CZ98" s="41">
        <v>8.5299999999999994</v>
      </c>
    </row>
    <row r="99" spans="1:104" x14ac:dyDescent="0.2">
      <c r="A99" s="43"/>
      <c r="B99" s="43"/>
      <c r="C99" s="43"/>
      <c r="D99" s="43"/>
      <c r="E99" s="43"/>
      <c r="F99" s="43"/>
      <c r="G99" s="43"/>
      <c r="CM99" s="41">
        <v>2015</v>
      </c>
      <c r="CN99" s="41" t="s">
        <v>176</v>
      </c>
      <c r="CO99" s="41" t="s">
        <v>212</v>
      </c>
      <c r="CP99" s="41" t="s">
        <v>114</v>
      </c>
      <c r="CQ99" s="41">
        <f>CX99/100</f>
        <v>0.12119999999999999</v>
      </c>
      <c r="CR99" s="41">
        <f t="shared" si="12"/>
        <v>0.1118</v>
      </c>
      <c r="CS99" s="41">
        <f t="shared" si="13"/>
        <v>0.13070000000000001</v>
      </c>
      <c r="CX99" s="41">
        <v>12.12</v>
      </c>
      <c r="CY99" s="41">
        <v>11.18</v>
      </c>
      <c r="CZ99" s="41">
        <v>13.07</v>
      </c>
    </row>
    <row r="100" spans="1:104" x14ac:dyDescent="0.2">
      <c r="A100" s="44"/>
      <c r="B100" s="44"/>
      <c r="C100" s="44"/>
      <c r="D100" s="44"/>
      <c r="E100" s="44"/>
      <c r="F100" s="44"/>
      <c r="G100" s="44"/>
    </row>
    <row r="101" spans="1:104" x14ac:dyDescent="0.2">
      <c r="A101" s="43"/>
      <c r="B101" s="43"/>
      <c r="C101" s="43"/>
      <c r="D101" s="43"/>
      <c r="E101" s="43"/>
      <c r="F101" s="43"/>
      <c r="G101" s="43"/>
    </row>
    <row r="102" spans="1:104" x14ac:dyDescent="0.2">
      <c r="A102" s="44"/>
      <c r="B102" s="44"/>
      <c r="C102" s="44"/>
      <c r="D102" s="44"/>
      <c r="E102" s="44"/>
      <c r="F102" s="44"/>
      <c r="G102" s="44"/>
      <c r="CQ102" s="41" t="s">
        <v>212</v>
      </c>
      <c r="CY102" s="41" t="s">
        <v>177</v>
      </c>
    </row>
    <row r="103" spans="1:104" x14ac:dyDescent="0.2">
      <c r="A103" s="43"/>
      <c r="B103" s="43"/>
      <c r="C103" s="43"/>
      <c r="D103" s="43"/>
      <c r="E103" s="43"/>
      <c r="F103" s="43"/>
      <c r="G103" s="43"/>
      <c r="CM103" s="41">
        <v>2015</v>
      </c>
      <c r="CN103" s="41" t="s">
        <v>224</v>
      </c>
      <c r="CO103" s="41" t="s">
        <v>212</v>
      </c>
      <c r="CP103" s="41" t="s">
        <v>114</v>
      </c>
      <c r="CQ103" s="41">
        <v>5.5999999999999994E-2</v>
      </c>
      <c r="CR103" s="41">
        <v>4.0999999999999995E-2</v>
      </c>
      <c r="CS103" s="41">
        <v>7.0999999999999994E-2</v>
      </c>
      <c r="CT103" s="41" t="s">
        <v>194</v>
      </c>
    </row>
    <row r="104" spans="1:104" x14ac:dyDescent="0.2">
      <c r="A104" s="44"/>
      <c r="B104" s="44"/>
      <c r="C104" s="44"/>
      <c r="D104" s="44"/>
      <c r="E104" s="44"/>
      <c r="F104" s="44"/>
      <c r="G104" s="44"/>
      <c r="CM104" s="41">
        <v>2015</v>
      </c>
      <c r="CN104" s="41" t="s">
        <v>225</v>
      </c>
      <c r="CO104" s="41" t="s">
        <v>212</v>
      </c>
      <c r="CP104" s="41" t="s">
        <v>114</v>
      </c>
      <c r="CQ104" s="41">
        <v>6.7000000000000004E-2</v>
      </c>
      <c r="CR104" s="41">
        <v>5.0999999999999997E-2</v>
      </c>
      <c r="CS104" s="41">
        <v>8.4000000000000005E-2</v>
      </c>
    </row>
    <row r="105" spans="1:104" x14ac:dyDescent="0.2">
      <c r="A105" s="43"/>
      <c r="B105" s="43"/>
      <c r="C105" s="43"/>
      <c r="D105" s="43"/>
      <c r="E105" s="43"/>
      <c r="F105" s="43"/>
      <c r="G105" s="43"/>
      <c r="CM105" s="41">
        <v>2015</v>
      </c>
      <c r="CN105" s="41" t="s">
        <v>226</v>
      </c>
      <c r="CO105" s="41" t="s">
        <v>212</v>
      </c>
      <c r="CP105" s="41" t="s">
        <v>114</v>
      </c>
      <c r="CQ105" s="41">
        <v>0.157</v>
      </c>
      <c r="CR105" s="41">
        <v>0.14099999999999999</v>
      </c>
      <c r="CS105" s="41">
        <v>0.17300000000000001</v>
      </c>
    </row>
    <row r="106" spans="1:104" x14ac:dyDescent="0.2">
      <c r="A106" s="44"/>
      <c r="B106" s="44"/>
      <c r="C106" s="44"/>
      <c r="D106" s="44"/>
      <c r="E106" s="44"/>
      <c r="F106" s="44"/>
      <c r="G106" s="44"/>
      <c r="H106" s="41" t="s">
        <v>177</v>
      </c>
      <c r="CM106" s="41">
        <v>2010</v>
      </c>
      <c r="CN106" s="41" t="s">
        <v>224</v>
      </c>
      <c r="CO106" s="41" t="s">
        <v>212</v>
      </c>
      <c r="CP106" s="41" t="s">
        <v>114</v>
      </c>
      <c r="CQ106" s="41">
        <v>8.199999999999999E-2</v>
      </c>
      <c r="CR106" s="41">
        <v>0.06</v>
      </c>
      <c r="CS106" s="41">
        <v>0.10300000000000001</v>
      </c>
    </row>
    <row r="107" spans="1:104" x14ac:dyDescent="0.2">
      <c r="A107" s="43"/>
      <c r="B107" s="43"/>
      <c r="C107" s="43"/>
      <c r="D107" s="43"/>
      <c r="E107" s="43"/>
      <c r="F107" s="43"/>
      <c r="G107" s="43"/>
      <c r="CM107" s="41">
        <v>2010</v>
      </c>
      <c r="CN107" s="41" t="s">
        <v>225</v>
      </c>
      <c r="CO107" s="41" t="s">
        <v>212</v>
      </c>
      <c r="CP107" s="41" t="s">
        <v>114</v>
      </c>
      <c r="CQ107" s="41">
        <v>0.09</v>
      </c>
      <c r="CR107" s="41">
        <v>7.0999999999999994E-2</v>
      </c>
      <c r="CS107" s="41">
        <v>0.11</v>
      </c>
    </row>
    <row r="108" spans="1:104" x14ac:dyDescent="0.2">
      <c r="A108" s="44"/>
      <c r="B108" s="44"/>
      <c r="C108" s="44"/>
      <c r="D108" s="44"/>
      <c r="E108" s="44"/>
      <c r="F108" s="44"/>
      <c r="G108" s="44"/>
      <c r="CM108" s="41">
        <v>2010</v>
      </c>
      <c r="CN108" s="41" t="s">
        <v>226</v>
      </c>
      <c r="CO108" s="41" t="s">
        <v>212</v>
      </c>
      <c r="CP108" s="41" t="s">
        <v>114</v>
      </c>
      <c r="CQ108" s="41">
        <v>0.17600000000000002</v>
      </c>
      <c r="CR108" s="41">
        <v>0.157</v>
      </c>
      <c r="CS108" s="41">
        <v>0.19500000000000001</v>
      </c>
    </row>
    <row r="109" spans="1:104" x14ac:dyDescent="0.2">
      <c r="A109" s="43"/>
      <c r="B109" s="43"/>
      <c r="C109" s="43"/>
      <c r="D109" s="43"/>
      <c r="E109" s="43"/>
      <c r="F109" s="43"/>
      <c r="G109" s="43"/>
      <c r="CM109" s="41">
        <v>2004</v>
      </c>
      <c r="CN109" s="41" t="s">
        <v>224</v>
      </c>
      <c r="CO109" s="41" t="s">
        <v>212</v>
      </c>
      <c r="CP109" s="41" t="s">
        <v>114</v>
      </c>
      <c r="CQ109" s="41">
        <v>0.10400000000000001</v>
      </c>
      <c r="CR109" s="41">
        <v>6.6000000000000003E-2</v>
      </c>
      <c r="CS109" s="41">
        <v>0.14199999999999999</v>
      </c>
    </row>
    <row r="110" spans="1:104" x14ac:dyDescent="0.2">
      <c r="A110" s="44"/>
      <c r="B110" s="44"/>
      <c r="C110" s="44"/>
      <c r="D110" s="44"/>
      <c r="E110" s="44"/>
      <c r="F110" s="44"/>
      <c r="G110" s="44"/>
      <c r="CM110" s="41">
        <v>2004</v>
      </c>
      <c r="CN110" s="41" t="s">
        <v>225</v>
      </c>
      <c r="CO110" s="41" t="s">
        <v>212</v>
      </c>
      <c r="CP110" s="41" t="s">
        <v>114</v>
      </c>
      <c r="CQ110" s="41">
        <v>6.6000000000000003E-2</v>
      </c>
      <c r="CR110" s="41">
        <v>4.7E-2</v>
      </c>
      <c r="CS110" s="41">
        <v>8.4000000000000005E-2</v>
      </c>
    </row>
    <row r="111" spans="1:104" x14ac:dyDescent="0.2">
      <c r="A111" s="43"/>
      <c r="B111" s="43"/>
      <c r="C111" s="43"/>
      <c r="D111" s="43"/>
      <c r="E111" s="43"/>
      <c r="F111" s="43"/>
      <c r="G111" s="43"/>
      <c r="CM111" s="41">
        <v>2004</v>
      </c>
      <c r="CN111" s="41" t="s">
        <v>226</v>
      </c>
      <c r="CO111" s="41" t="s">
        <v>212</v>
      </c>
      <c r="CP111" s="41" t="s">
        <v>114</v>
      </c>
      <c r="CQ111" s="41">
        <v>0.19800000000000001</v>
      </c>
      <c r="CR111" s="41">
        <v>0.17499999999999999</v>
      </c>
      <c r="CS111" s="41">
        <v>0.221</v>
      </c>
    </row>
    <row r="112" spans="1:104" x14ac:dyDescent="0.2">
      <c r="A112" s="44"/>
      <c r="B112" s="44"/>
      <c r="C112" s="44"/>
      <c r="D112" s="44"/>
      <c r="E112" s="44"/>
      <c r="F112" s="44"/>
      <c r="G112" s="44"/>
    </row>
    <row r="113" spans="1:97" x14ac:dyDescent="0.2">
      <c r="A113" s="43"/>
      <c r="B113" s="43"/>
      <c r="C113" s="43"/>
      <c r="D113" s="43"/>
      <c r="E113" s="43"/>
      <c r="F113" s="43"/>
      <c r="G113" s="43"/>
      <c r="CQ113" s="41" t="s">
        <v>200</v>
      </c>
    </row>
    <row r="114" spans="1:97" x14ac:dyDescent="0.2">
      <c r="A114" s="44"/>
      <c r="B114" s="44"/>
      <c r="C114" s="44"/>
      <c r="D114" s="44"/>
      <c r="E114" s="44"/>
      <c r="F114" s="44"/>
      <c r="G114" s="44"/>
      <c r="CM114" s="41">
        <v>2015</v>
      </c>
      <c r="CN114" s="41" t="s">
        <v>224</v>
      </c>
      <c r="CO114" s="41" t="s">
        <v>200</v>
      </c>
      <c r="CP114" s="41" t="s">
        <v>114</v>
      </c>
      <c r="CQ114" s="41">
        <v>4.5999999999999999E-2</v>
      </c>
      <c r="CR114" s="41">
        <v>2.8999999999999998E-2</v>
      </c>
      <c r="CS114" s="41">
        <v>6.2E-2</v>
      </c>
    </row>
    <row r="115" spans="1:97" x14ac:dyDescent="0.2">
      <c r="A115" s="43"/>
      <c r="B115" s="43"/>
      <c r="C115" s="43"/>
      <c r="D115" s="43"/>
      <c r="E115" s="43"/>
      <c r="F115" s="43"/>
      <c r="G115" s="43"/>
      <c r="CM115" s="41">
        <v>2015</v>
      </c>
      <c r="CN115" s="41" t="s">
        <v>225</v>
      </c>
      <c r="CO115" s="41" t="s">
        <v>200</v>
      </c>
      <c r="CP115" s="41" t="s">
        <v>114</v>
      </c>
      <c r="CQ115" s="41">
        <v>4.4000000000000004E-2</v>
      </c>
      <c r="CR115" s="41">
        <v>0.03</v>
      </c>
      <c r="CS115" s="41">
        <v>5.7999999999999996E-2</v>
      </c>
    </row>
    <row r="116" spans="1:97" x14ac:dyDescent="0.2">
      <c r="A116" s="44"/>
      <c r="B116" s="44"/>
      <c r="C116" s="44"/>
      <c r="D116" s="44"/>
      <c r="E116" s="44"/>
      <c r="F116" s="44"/>
      <c r="G116" s="44"/>
      <c r="CM116" s="41">
        <v>2015</v>
      </c>
      <c r="CN116" s="41" t="s">
        <v>226</v>
      </c>
      <c r="CO116" s="41" t="s">
        <v>200</v>
      </c>
      <c r="CP116" s="41" t="s">
        <v>114</v>
      </c>
      <c r="CQ116" s="41">
        <v>9.1999999999999998E-2</v>
      </c>
      <c r="CR116" s="41">
        <v>7.8E-2</v>
      </c>
      <c r="CS116" s="41">
        <v>0.105</v>
      </c>
    </row>
    <row r="117" spans="1:97" x14ac:dyDescent="0.2">
      <c r="A117" s="43"/>
      <c r="B117" s="43"/>
      <c r="C117" s="43"/>
      <c r="D117" s="43"/>
      <c r="E117" s="43"/>
      <c r="F117" s="43"/>
      <c r="G117" s="43"/>
      <c r="CM117" s="41">
        <v>2010</v>
      </c>
      <c r="CN117" s="41" t="s">
        <v>224</v>
      </c>
      <c r="CO117" s="41" t="s">
        <v>200</v>
      </c>
      <c r="CP117" s="41" t="s">
        <v>114</v>
      </c>
      <c r="CQ117" s="41">
        <v>4.8000000000000001E-2</v>
      </c>
      <c r="CR117" s="41">
        <v>0.03</v>
      </c>
      <c r="CS117" s="41">
        <v>6.6000000000000003E-2</v>
      </c>
    </row>
    <row r="118" spans="1:97" x14ac:dyDescent="0.2">
      <c r="A118" s="44"/>
      <c r="B118" s="44"/>
      <c r="C118" s="44"/>
      <c r="D118" s="44"/>
      <c r="E118" s="44"/>
      <c r="F118" s="44"/>
      <c r="G118" s="44"/>
      <c r="CM118" s="41">
        <v>2010</v>
      </c>
      <c r="CN118" s="41" t="s">
        <v>225</v>
      </c>
      <c r="CO118" s="41" t="s">
        <v>200</v>
      </c>
      <c r="CP118" s="41" t="s">
        <v>114</v>
      </c>
      <c r="CQ118" s="41">
        <v>6.2E-2</v>
      </c>
      <c r="CR118" s="41">
        <v>4.4999999999999998E-2</v>
      </c>
      <c r="CS118" s="41">
        <v>7.9000000000000001E-2</v>
      </c>
    </row>
    <row r="119" spans="1:97" x14ac:dyDescent="0.2">
      <c r="A119" s="43"/>
      <c r="B119" s="43"/>
      <c r="C119" s="43"/>
      <c r="D119" s="43"/>
      <c r="E119" s="43"/>
      <c r="F119" s="43"/>
      <c r="G119" s="43"/>
      <c r="CM119" s="41">
        <v>2010</v>
      </c>
      <c r="CN119" s="41" t="s">
        <v>226</v>
      </c>
      <c r="CO119" s="41" t="s">
        <v>200</v>
      </c>
      <c r="CP119" s="41" t="s">
        <v>114</v>
      </c>
      <c r="CQ119" s="41">
        <v>0.11</v>
      </c>
      <c r="CR119" s="41">
        <v>9.4E-2</v>
      </c>
      <c r="CS119" s="41">
        <v>0.125</v>
      </c>
    </row>
    <row r="120" spans="1:97" x14ac:dyDescent="0.2">
      <c r="A120" s="44"/>
      <c r="B120" s="44"/>
      <c r="C120" s="44"/>
      <c r="D120" s="44"/>
      <c r="E120" s="44"/>
      <c r="F120" s="44"/>
      <c r="G120" s="44"/>
      <c r="CM120" s="41">
        <v>2004</v>
      </c>
      <c r="CN120" s="41" t="s">
        <v>224</v>
      </c>
      <c r="CO120" s="41" t="s">
        <v>200</v>
      </c>
      <c r="CP120" s="41" t="s">
        <v>114</v>
      </c>
      <c r="CQ120" s="41">
        <v>5.4000000000000006E-2</v>
      </c>
      <c r="CR120" s="41">
        <v>0.03</v>
      </c>
      <c r="CS120" s="41">
        <v>7.8E-2</v>
      </c>
    </row>
    <row r="121" spans="1:97" x14ac:dyDescent="0.2">
      <c r="A121" s="43"/>
      <c r="B121" s="43"/>
      <c r="C121" s="43"/>
      <c r="D121" s="43"/>
      <c r="E121" s="43"/>
      <c r="F121" s="43"/>
      <c r="G121" s="43"/>
      <c r="CM121" s="41">
        <v>2004</v>
      </c>
      <c r="CN121" s="41" t="s">
        <v>225</v>
      </c>
      <c r="CO121" s="41" t="s">
        <v>200</v>
      </c>
      <c r="CP121" s="41" t="s">
        <v>114</v>
      </c>
      <c r="CQ121" s="41">
        <v>6.4000000000000001E-2</v>
      </c>
      <c r="CR121" s="41">
        <v>3.7999999999999999E-2</v>
      </c>
      <c r="CS121" s="41">
        <v>0.09</v>
      </c>
    </row>
    <row r="122" spans="1:97" x14ac:dyDescent="0.2">
      <c r="A122" s="44"/>
      <c r="B122" s="44"/>
      <c r="C122" s="44"/>
      <c r="D122" s="44"/>
      <c r="E122" s="44"/>
      <c r="F122" s="44"/>
      <c r="G122" s="44"/>
      <c r="CM122" s="41">
        <v>2004</v>
      </c>
      <c r="CN122" s="41" t="s">
        <v>226</v>
      </c>
      <c r="CO122" s="41" t="s">
        <v>200</v>
      </c>
      <c r="CP122" s="41" t="s">
        <v>114</v>
      </c>
      <c r="CQ122" s="41">
        <v>0.151</v>
      </c>
      <c r="CR122" s="41">
        <v>0.12300000000000001</v>
      </c>
      <c r="CS122" s="41">
        <v>0.17899999999999999</v>
      </c>
    </row>
    <row r="123" spans="1:97" x14ac:dyDescent="0.2">
      <c r="A123" s="43"/>
      <c r="B123" s="43"/>
      <c r="C123" s="43"/>
      <c r="D123" s="43"/>
      <c r="E123" s="43"/>
      <c r="F123" s="43"/>
      <c r="G123" s="43"/>
      <c r="P123" s="41" t="s">
        <v>177</v>
      </c>
    </row>
    <row r="124" spans="1:97" x14ac:dyDescent="0.2">
      <c r="A124" s="44"/>
      <c r="B124" s="44"/>
      <c r="C124" s="44"/>
      <c r="D124" s="44"/>
      <c r="E124" s="44"/>
      <c r="F124" s="44"/>
      <c r="G124" s="44"/>
    </row>
    <row r="125" spans="1:97" x14ac:dyDescent="0.2">
      <c r="A125" s="43"/>
      <c r="B125" s="43"/>
      <c r="C125" s="43"/>
      <c r="D125" s="43"/>
      <c r="E125" s="43"/>
      <c r="F125" s="43"/>
      <c r="G125" s="43"/>
    </row>
    <row r="126" spans="1:97" x14ac:dyDescent="0.2">
      <c r="A126" s="44"/>
      <c r="B126" s="44"/>
      <c r="C126" s="44"/>
      <c r="D126" s="44"/>
      <c r="E126" s="44"/>
      <c r="F126" s="44"/>
      <c r="G126" s="44"/>
    </row>
    <row r="127" spans="1:97" x14ac:dyDescent="0.2">
      <c r="A127" s="43"/>
      <c r="B127" s="43"/>
      <c r="C127" s="43"/>
      <c r="D127" s="43"/>
      <c r="E127" s="43"/>
      <c r="F127" s="43"/>
      <c r="G127" s="43"/>
    </row>
    <row r="128" spans="1:9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3"/>
      <c r="B999" s="43"/>
      <c r="C999" s="43"/>
      <c r="D999" s="43"/>
      <c r="E999" s="43"/>
      <c r="F999" s="43"/>
      <c r="G999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Y993"/>
  <sheetViews>
    <sheetView topLeftCell="A14" workbookViewId="0">
      <selection activeCell="K48" sqref="K48"/>
    </sheetView>
  </sheetViews>
  <sheetFormatPr baseColWidth="10" defaultColWidth="8.6640625" defaultRowHeight="15" x14ac:dyDescent="0.2"/>
  <cols>
    <col min="1" max="1" width="12.83203125" style="41" bestFit="1" customWidth="1"/>
    <col min="2" max="10" width="8.6640625" style="41"/>
    <col min="11" max="11" width="9.1640625" style="41" bestFit="1" customWidth="1"/>
    <col min="12" max="28" width="8.6640625" style="41"/>
    <col min="29" max="29" width="9.1640625" style="41" bestFit="1" customWidth="1"/>
    <col min="30" max="16384" width="8.6640625" style="41"/>
  </cols>
  <sheetData>
    <row r="1" spans="1:12" x14ac:dyDescent="0.2">
      <c r="A1" s="40" t="s">
        <v>103</v>
      </c>
      <c r="B1" s="40" t="s">
        <v>85</v>
      </c>
      <c r="G1" s="42" t="s">
        <v>109</v>
      </c>
    </row>
    <row r="3" spans="1:12" x14ac:dyDescent="0.2">
      <c r="A3" s="42" t="s">
        <v>104</v>
      </c>
    </row>
    <row r="4" spans="1:12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105</v>
      </c>
    </row>
    <row r="6" spans="1:12" x14ac:dyDescent="0.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85</v>
      </c>
      <c r="F8" s="40" t="s">
        <v>106</v>
      </c>
      <c r="G8" s="40" t="s">
        <v>108</v>
      </c>
      <c r="J8" s="42" t="s">
        <v>113</v>
      </c>
    </row>
    <row r="9" spans="1:12" x14ac:dyDescent="0.2">
      <c r="A9" s="44">
        <v>2010</v>
      </c>
      <c r="B9" s="44" t="s">
        <v>228</v>
      </c>
      <c r="C9" s="44" t="s">
        <v>43</v>
      </c>
      <c r="D9" s="44" t="s">
        <v>171</v>
      </c>
      <c r="E9" s="44">
        <v>993503</v>
      </c>
      <c r="F9" s="44"/>
      <c r="G9" s="44">
        <v>1993.4924128272974</v>
      </c>
      <c r="J9" s="42"/>
    </row>
    <row r="10" spans="1:12" x14ac:dyDescent="0.2">
      <c r="A10" s="43">
        <v>2010</v>
      </c>
      <c r="B10" s="44" t="s">
        <v>228</v>
      </c>
      <c r="C10" s="43" t="s">
        <v>43</v>
      </c>
      <c r="D10" s="43" t="s">
        <v>123</v>
      </c>
      <c r="E10" s="43">
        <v>849884</v>
      </c>
      <c r="F10" s="43"/>
      <c r="G10" s="43">
        <v>1843.7830675000787</v>
      </c>
    </row>
    <row r="11" spans="1:12" x14ac:dyDescent="0.2">
      <c r="A11" s="44">
        <v>2010</v>
      </c>
      <c r="B11" s="44" t="s">
        <v>228</v>
      </c>
      <c r="C11" s="44" t="s">
        <v>43</v>
      </c>
      <c r="D11" s="44" t="s">
        <v>124</v>
      </c>
      <c r="E11" s="44">
        <v>795446</v>
      </c>
      <c r="F11" s="44"/>
      <c r="G11" s="44">
        <v>1783.7555886387574</v>
      </c>
    </row>
    <row r="12" spans="1:12" x14ac:dyDescent="0.2">
      <c r="A12" s="43">
        <v>2010</v>
      </c>
      <c r="B12" s="44" t="s">
        <v>228</v>
      </c>
      <c r="C12" s="43" t="s">
        <v>43</v>
      </c>
      <c r="D12" s="43" t="s">
        <v>115</v>
      </c>
      <c r="E12" s="43">
        <v>766954</v>
      </c>
      <c r="F12" s="43"/>
      <c r="G12" s="43">
        <v>1751.5181985922954</v>
      </c>
    </row>
    <row r="13" spans="1:12" x14ac:dyDescent="0.2">
      <c r="A13" s="44">
        <v>2010</v>
      </c>
      <c r="B13" s="44" t="s">
        <v>228</v>
      </c>
      <c r="C13" s="44" t="s">
        <v>43</v>
      </c>
      <c r="D13" s="44" t="s">
        <v>116</v>
      </c>
      <c r="E13" s="44">
        <v>730145</v>
      </c>
      <c r="F13" s="44"/>
      <c r="G13" s="44">
        <v>1708.9704503004141</v>
      </c>
    </row>
    <row r="14" spans="1:12" x14ac:dyDescent="0.2">
      <c r="A14" s="43">
        <v>2010</v>
      </c>
      <c r="B14" s="44" t="s">
        <v>228</v>
      </c>
      <c r="C14" s="43" t="s">
        <v>43</v>
      </c>
      <c r="D14" s="43" t="s">
        <v>117</v>
      </c>
      <c r="E14" s="43">
        <v>596614</v>
      </c>
      <c r="F14" s="43"/>
      <c r="G14" s="43">
        <v>1544.8158466302707</v>
      </c>
    </row>
    <row r="15" spans="1:12" x14ac:dyDescent="0.2">
      <c r="A15" s="44">
        <v>2010</v>
      </c>
      <c r="B15" s="44" t="s">
        <v>228</v>
      </c>
      <c r="C15" s="44" t="s">
        <v>43</v>
      </c>
      <c r="D15" s="44" t="s">
        <v>118</v>
      </c>
      <c r="E15" s="44">
        <v>471291</v>
      </c>
      <c r="F15" s="44"/>
      <c r="G15" s="44">
        <v>1373.01274575293</v>
      </c>
    </row>
    <row r="16" spans="1:12" x14ac:dyDescent="0.2">
      <c r="A16" s="43">
        <v>2010</v>
      </c>
      <c r="B16" s="44" t="s">
        <v>228</v>
      </c>
      <c r="C16" s="43" t="s">
        <v>43</v>
      </c>
      <c r="D16" s="43" t="s">
        <v>119</v>
      </c>
      <c r="E16" s="43">
        <v>333524</v>
      </c>
      <c r="F16" s="43"/>
      <c r="G16" s="43">
        <v>1155.0307355217869</v>
      </c>
    </row>
    <row r="17" spans="1:25" x14ac:dyDescent="0.2">
      <c r="A17" s="44">
        <v>2010</v>
      </c>
      <c r="B17" s="44" t="s">
        <v>228</v>
      </c>
      <c r="C17" s="44" t="s">
        <v>43</v>
      </c>
      <c r="D17" s="44" t="s">
        <v>120</v>
      </c>
      <c r="E17" s="44">
        <v>245985</v>
      </c>
      <c r="F17" s="44"/>
      <c r="G17" s="44">
        <v>991.9374980309999</v>
      </c>
    </row>
    <row r="18" spans="1:25" x14ac:dyDescent="0.2">
      <c r="A18" s="43">
        <v>2010</v>
      </c>
      <c r="B18" s="44" t="s">
        <v>228</v>
      </c>
      <c r="C18" s="43" t="s">
        <v>43</v>
      </c>
      <c r="D18" s="43" t="s">
        <v>121</v>
      </c>
      <c r="E18" s="43">
        <v>200252</v>
      </c>
      <c r="F18" s="43"/>
      <c r="G18" s="43">
        <v>894.99050274290619</v>
      </c>
    </row>
    <row r="19" spans="1:25" x14ac:dyDescent="0.2">
      <c r="A19" s="44">
        <v>2010</v>
      </c>
      <c r="B19" s="44" t="s">
        <v>228</v>
      </c>
      <c r="C19" s="44" t="s">
        <v>43</v>
      </c>
      <c r="D19" s="44" t="s">
        <v>122</v>
      </c>
      <c r="E19" s="44">
        <v>167229</v>
      </c>
      <c r="F19" s="44"/>
      <c r="G19" s="44">
        <v>817.87285075370971</v>
      </c>
    </row>
    <row r="20" spans="1:25" x14ac:dyDescent="0.2">
      <c r="A20" s="43">
        <v>2010</v>
      </c>
      <c r="B20" s="44" t="s">
        <v>228</v>
      </c>
      <c r="C20" s="43" t="s">
        <v>43</v>
      </c>
      <c r="D20" s="43" t="s">
        <v>125</v>
      </c>
      <c r="E20" s="43">
        <v>142147</v>
      </c>
      <c r="F20" s="43"/>
      <c r="G20" s="43">
        <v>754.04774384650204</v>
      </c>
      <c r="J20" s="41" t="s">
        <v>177</v>
      </c>
    </row>
    <row r="21" spans="1:25" x14ac:dyDescent="0.2">
      <c r="A21" s="44">
        <v>2010</v>
      </c>
      <c r="B21" s="44" t="s">
        <v>228</v>
      </c>
      <c r="C21" s="44" t="s">
        <v>43</v>
      </c>
      <c r="D21" s="44" t="s">
        <v>178</v>
      </c>
      <c r="E21" s="44">
        <v>100376</v>
      </c>
      <c r="F21" s="44"/>
      <c r="G21" s="44">
        <v>633.64343285478787</v>
      </c>
    </row>
    <row r="22" spans="1:25" x14ac:dyDescent="0.2">
      <c r="A22" s="43">
        <v>2010</v>
      </c>
      <c r="B22" s="44" t="s">
        <v>228</v>
      </c>
      <c r="C22" s="43" t="s">
        <v>43</v>
      </c>
      <c r="D22" s="43" t="s">
        <v>179</v>
      </c>
      <c r="E22" s="43">
        <v>94053</v>
      </c>
      <c r="F22" s="43"/>
      <c r="G22" s="43">
        <v>613.36123124957942</v>
      </c>
    </row>
    <row r="23" spans="1:25" x14ac:dyDescent="0.2">
      <c r="A23" s="44">
        <v>2010</v>
      </c>
      <c r="B23" s="44" t="s">
        <v>228</v>
      </c>
      <c r="C23" s="44" t="s">
        <v>43</v>
      </c>
      <c r="D23" s="44" t="s">
        <v>219</v>
      </c>
      <c r="E23" s="44">
        <v>70357</v>
      </c>
      <c r="F23" s="44"/>
      <c r="G23" s="44">
        <v>530.49787935485665</v>
      </c>
    </row>
    <row r="24" spans="1:25" x14ac:dyDescent="0.2">
      <c r="A24" s="43">
        <v>2010</v>
      </c>
      <c r="B24" s="44" t="s">
        <v>228</v>
      </c>
      <c r="C24" s="43" t="s">
        <v>43</v>
      </c>
      <c r="D24" s="43" t="s">
        <v>220</v>
      </c>
      <c r="E24" s="43">
        <v>48407</v>
      </c>
      <c r="F24" s="43"/>
      <c r="G24" s="43">
        <v>440.0318170314506</v>
      </c>
    </row>
    <row r="25" spans="1:25" x14ac:dyDescent="0.2">
      <c r="A25" s="44">
        <v>2010</v>
      </c>
      <c r="B25" s="44" t="s">
        <v>228</v>
      </c>
      <c r="C25" s="44" t="s">
        <v>43</v>
      </c>
      <c r="D25" s="44" t="s">
        <v>221</v>
      </c>
      <c r="E25" s="44">
        <v>28377</v>
      </c>
      <c r="F25" s="44"/>
      <c r="G25" s="44">
        <v>336.90948339279498</v>
      </c>
    </row>
    <row r="26" spans="1:25" x14ac:dyDescent="0.2">
      <c r="A26" s="43">
        <v>2010</v>
      </c>
      <c r="B26" s="44" t="s">
        <v>228</v>
      </c>
      <c r="C26" s="43" t="s">
        <v>43</v>
      </c>
      <c r="D26" s="43" t="s">
        <v>222</v>
      </c>
      <c r="E26" s="43">
        <v>10891</v>
      </c>
      <c r="F26" s="43"/>
      <c r="G26" s="43">
        <v>208.7199080107118</v>
      </c>
    </row>
    <row r="27" spans="1:25" x14ac:dyDescent="0.2">
      <c r="A27" s="44">
        <v>2010</v>
      </c>
      <c r="B27" s="44" t="s">
        <v>228</v>
      </c>
      <c r="C27" s="44" t="s">
        <v>43</v>
      </c>
      <c r="D27" s="44" t="s">
        <v>255</v>
      </c>
      <c r="E27" s="44">
        <v>2858</v>
      </c>
      <c r="F27" s="44"/>
      <c r="G27" s="44">
        <v>106.92053123698928</v>
      </c>
      <c r="J27" s="41" t="s">
        <v>177</v>
      </c>
    </row>
    <row r="28" spans="1:25" x14ac:dyDescent="0.2">
      <c r="A28" s="43">
        <v>2010</v>
      </c>
      <c r="B28" s="44" t="s">
        <v>228</v>
      </c>
      <c r="C28" s="43" t="s">
        <v>44</v>
      </c>
      <c r="D28" s="43" t="s">
        <v>171</v>
      </c>
      <c r="E28" s="43">
        <v>1003778</v>
      </c>
      <c r="F28" s="43"/>
      <c r="G28" s="43">
        <v>2003.7744384036841</v>
      </c>
    </row>
    <row r="29" spans="1:25" x14ac:dyDescent="0.2">
      <c r="A29" s="44">
        <v>2010</v>
      </c>
      <c r="B29" s="44" t="s">
        <v>228</v>
      </c>
      <c r="C29" s="44" t="s">
        <v>44</v>
      </c>
      <c r="D29" s="44" t="s">
        <v>123</v>
      </c>
      <c r="E29" s="44">
        <v>849773</v>
      </c>
      <c r="F29" s="44"/>
      <c r="G29" s="44">
        <v>1843.6626589482144</v>
      </c>
    </row>
    <row r="30" spans="1:25" x14ac:dyDescent="0.2">
      <c r="A30" s="43">
        <v>2010</v>
      </c>
      <c r="B30" s="44" t="s">
        <v>228</v>
      </c>
      <c r="C30" s="43" t="s">
        <v>44</v>
      </c>
      <c r="D30" s="43" t="s">
        <v>124</v>
      </c>
      <c r="E30" s="43">
        <v>791114</v>
      </c>
      <c r="F30" s="43"/>
      <c r="G30" s="43">
        <v>1778.8917898511984</v>
      </c>
      <c r="W30" s="46"/>
      <c r="X30" s="46"/>
      <c r="Y30" s="47"/>
    </row>
    <row r="31" spans="1:25" x14ac:dyDescent="0.2">
      <c r="A31" s="44">
        <v>2010</v>
      </c>
      <c r="B31" s="44" t="s">
        <v>228</v>
      </c>
      <c r="C31" s="44" t="s">
        <v>44</v>
      </c>
      <c r="D31" s="44" t="s">
        <v>115</v>
      </c>
      <c r="E31" s="44">
        <v>729897</v>
      </c>
      <c r="F31" s="44"/>
      <c r="G31" s="44">
        <v>1708.6801924292329</v>
      </c>
      <c r="W31" s="46"/>
      <c r="X31" s="46"/>
      <c r="Y31" s="47"/>
    </row>
    <row r="32" spans="1:25" x14ac:dyDescent="0.2">
      <c r="A32" s="43">
        <v>2010</v>
      </c>
      <c r="B32" s="44" t="s">
        <v>228</v>
      </c>
      <c r="C32" s="43" t="s">
        <v>44</v>
      </c>
      <c r="D32" s="43" t="s">
        <v>116</v>
      </c>
      <c r="E32" s="43">
        <v>646316</v>
      </c>
      <c r="F32" s="43"/>
      <c r="G32" s="43">
        <v>1607.8756170798786</v>
      </c>
      <c r="W32" s="46"/>
      <c r="X32" s="46"/>
      <c r="Y32" s="47"/>
    </row>
    <row r="33" spans="1:25" x14ac:dyDescent="0.2">
      <c r="A33" s="44">
        <v>2010</v>
      </c>
      <c r="B33" s="44" t="s">
        <v>228</v>
      </c>
      <c r="C33" s="44" t="s">
        <v>44</v>
      </c>
      <c r="D33" s="44" t="s">
        <v>117</v>
      </c>
      <c r="E33" s="44">
        <v>511221</v>
      </c>
      <c r="F33" s="44"/>
      <c r="G33" s="44">
        <v>1429.9944055834624</v>
      </c>
      <c r="J33" s="41" t="s">
        <v>177</v>
      </c>
      <c r="W33" s="46"/>
      <c r="X33" s="46"/>
      <c r="Y33" s="47"/>
    </row>
    <row r="34" spans="1:25" x14ac:dyDescent="0.2">
      <c r="A34" s="43">
        <v>2010</v>
      </c>
      <c r="B34" s="44" t="s">
        <v>228</v>
      </c>
      <c r="C34" s="43" t="s">
        <v>44</v>
      </c>
      <c r="D34" s="43" t="s">
        <v>118</v>
      </c>
      <c r="E34" s="43">
        <v>407730</v>
      </c>
      <c r="F34" s="43"/>
      <c r="G34" s="43">
        <v>1277.0747824618572</v>
      </c>
      <c r="W34" s="46"/>
      <c r="X34" s="46"/>
      <c r="Y34" s="47"/>
    </row>
    <row r="35" spans="1:25" x14ac:dyDescent="0.2">
      <c r="A35" s="44">
        <v>2010</v>
      </c>
      <c r="B35" s="44" t="s">
        <v>228</v>
      </c>
      <c r="C35" s="44" t="s">
        <v>44</v>
      </c>
      <c r="D35" s="44" t="s">
        <v>119</v>
      </c>
      <c r="E35" s="44">
        <v>296577</v>
      </c>
      <c r="F35" s="44"/>
      <c r="G35" s="44">
        <v>1089.1776714567739</v>
      </c>
      <c r="W35" s="46"/>
      <c r="X35" s="46"/>
      <c r="Y35" s="47"/>
    </row>
    <row r="36" spans="1:25" x14ac:dyDescent="0.2">
      <c r="A36" s="43">
        <v>2010</v>
      </c>
      <c r="B36" s="44" t="s">
        <v>228</v>
      </c>
      <c r="C36" s="43" t="s">
        <v>44</v>
      </c>
      <c r="D36" s="43" t="s">
        <v>120</v>
      </c>
      <c r="E36" s="43">
        <v>220200</v>
      </c>
      <c r="F36" s="43"/>
      <c r="G36" s="43">
        <v>938.50945653200529</v>
      </c>
      <c r="W36" s="46"/>
      <c r="X36" s="46"/>
      <c r="Y36" s="47"/>
    </row>
    <row r="37" spans="1:25" x14ac:dyDescent="0.2">
      <c r="A37" s="44">
        <v>2010</v>
      </c>
      <c r="B37" s="44" t="s">
        <v>228</v>
      </c>
      <c r="C37" s="44" t="s">
        <v>44</v>
      </c>
      <c r="D37" s="44" t="s">
        <v>121</v>
      </c>
      <c r="E37" s="44">
        <v>163800</v>
      </c>
      <c r="F37" s="44"/>
      <c r="G37" s="44">
        <v>809.44425379392248</v>
      </c>
      <c r="W37" s="46"/>
      <c r="X37" s="46"/>
      <c r="Y37" s="47"/>
    </row>
    <row r="38" spans="1:25" x14ac:dyDescent="0.2">
      <c r="A38" s="43">
        <v>2010</v>
      </c>
      <c r="B38" s="44" t="s">
        <v>228</v>
      </c>
      <c r="C38" s="43" t="s">
        <v>44</v>
      </c>
      <c r="D38" s="43" t="s">
        <v>122</v>
      </c>
      <c r="E38" s="43">
        <v>125947</v>
      </c>
      <c r="F38" s="43"/>
      <c r="G38" s="43">
        <v>709.78024768233729</v>
      </c>
      <c r="L38" s="41" t="s">
        <v>177</v>
      </c>
      <c r="W38" s="46"/>
      <c r="X38" s="46"/>
      <c r="Y38" s="47"/>
    </row>
    <row r="39" spans="1:25" x14ac:dyDescent="0.2">
      <c r="A39" s="44">
        <v>2010</v>
      </c>
      <c r="B39" s="44" t="s">
        <v>228</v>
      </c>
      <c r="C39" s="44" t="s">
        <v>44</v>
      </c>
      <c r="D39" s="44" t="s">
        <v>125</v>
      </c>
      <c r="E39" s="44">
        <v>99658</v>
      </c>
      <c r="F39" s="44"/>
      <c r="G39" s="44">
        <v>631.37310680769417</v>
      </c>
      <c r="J39" s="41" t="s">
        <v>177</v>
      </c>
      <c r="W39" s="46"/>
      <c r="X39" s="46"/>
      <c r="Y39" s="47"/>
    </row>
    <row r="40" spans="1:25" x14ac:dyDescent="0.2">
      <c r="A40" s="43">
        <v>2010</v>
      </c>
      <c r="B40" s="44" t="s">
        <v>228</v>
      </c>
      <c r="C40" s="43" t="s">
        <v>44</v>
      </c>
      <c r="D40" s="43" t="s">
        <v>178</v>
      </c>
      <c r="E40" s="43">
        <v>68299</v>
      </c>
      <c r="F40" s="43"/>
      <c r="G40" s="43">
        <v>522.68154740721434</v>
      </c>
      <c r="W40" s="46"/>
      <c r="X40" s="46"/>
      <c r="Y40" s="47"/>
    </row>
    <row r="41" spans="1:25" x14ac:dyDescent="0.2">
      <c r="A41" s="44">
        <v>2010</v>
      </c>
      <c r="B41" s="44" t="s">
        <v>228</v>
      </c>
      <c r="C41" s="44" t="s">
        <v>44</v>
      </c>
      <c r="D41" s="44" t="s">
        <v>179</v>
      </c>
      <c r="E41" s="44">
        <v>60276</v>
      </c>
      <c r="F41" s="44"/>
      <c r="G41" s="44">
        <v>491.02342102999529</v>
      </c>
      <c r="W41" s="46"/>
      <c r="X41" s="46"/>
      <c r="Y41" s="47"/>
    </row>
    <row r="42" spans="1:25" x14ac:dyDescent="0.2">
      <c r="A42" s="43">
        <v>2010</v>
      </c>
      <c r="B42" s="44" t="s">
        <v>228</v>
      </c>
      <c r="C42" s="43" t="s">
        <v>44</v>
      </c>
      <c r="D42" s="43" t="s">
        <v>219</v>
      </c>
      <c r="E42" s="43">
        <v>39694</v>
      </c>
      <c r="F42" s="43"/>
      <c r="G42" s="43">
        <v>398.46706262876984</v>
      </c>
      <c r="W42" s="46"/>
      <c r="X42" s="46"/>
      <c r="Y42" s="47"/>
    </row>
    <row r="43" spans="1:25" x14ac:dyDescent="0.2">
      <c r="A43" s="44">
        <v>2010</v>
      </c>
      <c r="B43" s="44" t="s">
        <v>228</v>
      </c>
      <c r="C43" s="44" t="s">
        <v>44</v>
      </c>
      <c r="D43" s="44" t="s">
        <v>220</v>
      </c>
      <c r="E43" s="44">
        <v>21954</v>
      </c>
      <c r="F43" s="44"/>
      <c r="G43" s="44">
        <v>296.33764526296687</v>
      </c>
      <c r="W43" s="46"/>
      <c r="X43" s="46"/>
      <c r="Y43" s="47"/>
    </row>
    <row r="44" spans="1:25" x14ac:dyDescent="0.2">
      <c r="A44" s="43">
        <v>2010</v>
      </c>
      <c r="B44" s="44" t="s">
        <v>228</v>
      </c>
      <c r="C44" s="43" t="s">
        <v>44</v>
      </c>
      <c r="D44" s="43" t="s">
        <v>221</v>
      </c>
      <c r="E44" s="43">
        <v>9792</v>
      </c>
      <c r="F44" s="43"/>
      <c r="G44" s="43">
        <v>197.90907002964769</v>
      </c>
      <c r="W44" s="46"/>
      <c r="X44" s="46"/>
      <c r="Y44" s="47"/>
    </row>
    <row r="45" spans="1:25" x14ac:dyDescent="0.2">
      <c r="A45" s="44">
        <v>2010</v>
      </c>
      <c r="B45" s="44" t="s">
        <v>228</v>
      </c>
      <c r="C45" s="44" t="s">
        <v>44</v>
      </c>
      <c r="D45" s="44" t="s">
        <v>222</v>
      </c>
      <c r="E45" s="44">
        <v>2574</v>
      </c>
      <c r="F45" s="44"/>
      <c r="G45" s="44">
        <v>101.46920715172658</v>
      </c>
    </row>
    <row r="46" spans="1:25" x14ac:dyDescent="0.2">
      <c r="A46" s="43"/>
      <c r="B46" s="44"/>
      <c r="C46" s="43"/>
      <c r="D46" s="43"/>
      <c r="E46" s="43"/>
      <c r="F46" s="43"/>
      <c r="G46" s="43"/>
    </row>
    <row r="47" spans="1:25" x14ac:dyDescent="0.2">
      <c r="A47" s="44"/>
      <c r="B47" s="44"/>
      <c r="C47" s="44"/>
      <c r="D47" s="44"/>
      <c r="E47" s="44"/>
      <c r="F47" s="44"/>
      <c r="G47" s="44"/>
    </row>
    <row r="48" spans="1:25" x14ac:dyDescent="0.2">
      <c r="A48" s="43"/>
      <c r="B48" s="44"/>
      <c r="C48" s="43"/>
      <c r="D48" s="43"/>
      <c r="E48" s="43"/>
      <c r="F48" s="43"/>
      <c r="G48" s="43"/>
      <c r="K48" s="41">
        <f>SUM(E9:E45)</f>
        <v>12696893</v>
      </c>
    </row>
    <row r="49" spans="1:11" x14ac:dyDescent="0.2">
      <c r="A49" s="44"/>
      <c r="B49" s="44"/>
      <c r="C49" s="44"/>
      <c r="D49" s="44"/>
      <c r="E49" s="44"/>
      <c r="F49" s="44"/>
      <c r="G49" s="44"/>
    </row>
    <row r="50" spans="1:11" x14ac:dyDescent="0.2">
      <c r="A50" s="43"/>
      <c r="B50" s="44"/>
      <c r="C50" s="43"/>
      <c r="D50" s="43"/>
      <c r="E50" s="43"/>
      <c r="F50" s="43"/>
      <c r="G50" s="43"/>
    </row>
    <row r="51" spans="1:11" x14ac:dyDescent="0.2">
      <c r="A51" s="44"/>
      <c r="B51" s="44"/>
      <c r="C51" s="44"/>
      <c r="D51" s="44"/>
      <c r="E51" s="44"/>
      <c r="F51" s="44"/>
      <c r="G51" s="43"/>
    </row>
    <row r="52" spans="1:11" x14ac:dyDescent="0.2">
      <c r="A52" s="43"/>
      <c r="B52" s="44"/>
      <c r="C52" s="43"/>
      <c r="D52" s="43"/>
      <c r="E52" s="43"/>
      <c r="F52" s="43"/>
      <c r="G52" s="44"/>
    </row>
    <row r="53" spans="1:11" x14ac:dyDescent="0.2">
      <c r="A53" s="44"/>
      <c r="B53" s="44"/>
      <c r="C53" s="44"/>
      <c r="D53" s="44"/>
      <c r="E53" s="44"/>
      <c r="F53" s="44"/>
      <c r="G53" s="43"/>
    </row>
    <row r="54" spans="1:11" x14ac:dyDescent="0.2">
      <c r="A54" s="43"/>
      <c r="B54" s="44"/>
      <c r="C54" s="43"/>
      <c r="D54" s="43"/>
      <c r="E54" s="43"/>
      <c r="F54" s="43"/>
      <c r="G54" s="44"/>
    </row>
    <row r="55" spans="1:11" x14ac:dyDescent="0.2">
      <c r="A55" s="44"/>
      <c r="B55" s="44"/>
      <c r="C55" s="44"/>
      <c r="D55" s="44"/>
      <c r="E55" s="44"/>
      <c r="F55" s="44"/>
      <c r="G55" s="43"/>
      <c r="K55" s="41" t="s">
        <v>177</v>
      </c>
    </row>
    <row r="56" spans="1:11" x14ac:dyDescent="0.2">
      <c r="A56" s="43"/>
      <c r="B56" s="44"/>
      <c r="C56" s="43"/>
      <c r="D56" s="43"/>
      <c r="E56" s="43"/>
      <c r="F56" s="43"/>
      <c r="G56" s="44"/>
    </row>
    <row r="57" spans="1:11" x14ac:dyDescent="0.2">
      <c r="A57" s="44"/>
      <c r="B57" s="44"/>
      <c r="C57" s="44"/>
      <c r="D57" s="44"/>
      <c r="E57" s="44"/>
      <c r="F57" s="44"/>
      <c r="G57" s="43"/>
    </row>
    <row r="58" spans="1:11" x14ac:dyDescent="0.2">
      <c r="A58" s="43"/>
      <c r="B58" s="44"/>
      <c r="C58" s="43"/>
      <c r="D58" s="43"/>
      <c r="E58" s="43"/>
      <c r="F58" s="43"/>
      <c r="G58" s="44"/>
      <c r="K58" s="41" t="s">
        <v>177</v>
      </c>
    </row>
    <row r="59" spans="1:11" x14ac:dyDescent="0.2">
      <c r="A59" s="44"/>
      <c r="B59" s="44"/>
      <c r="C59" s="44"/>
      <c r="D59" s="44"/>
      <c r="E59" s="44"/>
      <c r="F59" s="44"/>
      <c r="G59" s="43"/>
    </row>
    <row r="60" spans="1:11" x14ac:dyDescent="0.2">
      <c r="A60" s="43"/>
      <c r="B60" s="44"/>
      <c r="C60" s="43"/>
      <c r="D60" s="43"/>
      <c r="E60" s="43"/>
      <c r="F60" s="43"/>
      <c r="G60" s="44"/>
    </row>
    <row r="61" spans="1:11" x14ac:dyDescent="0.2">
      <c r="A61" s="44"/>
      <c r="B61" s="44"/>
      <c r="C61" s="44"/>
      <c r="D61" s="44"/>
      <c r="E61" s="44"/>
      <c r="F61" s="44"/>
      <c r="G61" s="43"/>
    </row>
    <row r="62" spans="1:11" x14ac:dyDescent="0.2">
      <c r="A62" s="43"/>
      <c r="B62" s="44"/>
      <c r="C62" s="43"/>
      <c r="D62" s="43"/>
      <c r="E62" s="43"/>
      <c r="F62" s="43"/>
      <c r="G62" s="44"/>
      <c r="K62" s="41" t="s">
        <v>177</v>
      </c>
    </row>
    <row r="63" spans="1:11" x14ac:dyDescent="0.2">
      <c r="A63" s="44"/>
      <c r="B63" s="44"/>
      <c r="C63" s="44"/>
      <c r="D63" s="44"/>
      <c r="E63" s="44"/>
      <c r="F63" s="44"/>
      <c r="G63" s="43"/>
    </row>
    <row r="64" spans="1:11" x14ac:dyDescent="0.2">
      <c r="A64" s="43"/>
      <c r="B64" s="44"/>
      <c r="C64" s="43"/>
      <c r="D64" s="43"/>
      <c r="E64" s="43"/>
      <c r="F64" s="43"/>
      <c r="G64" s="44"/>
    </row>
    <row r="65" spans="1:7" x14ac:dyDescent="0.2">
      <c r="A65" s="44"/>
      <c r="B65" s="44"/>
      <c r="C65" s="44"/>
      <c r="D65" s="44"/>
      <c r="E65" s="44"/>
      <c r="F65" s="44"/>
      <c r="G65" s="44"/>
    </row>
    <row r="66" spans="1:7" x14ac:dyDescent="0.2">
      <c r="A66" s="43"/>
      <c r="B66" s="44"/>
      <c r="C66" s="43"/>
      <c r="D66" s="43"/>
      <c r="E66" s="43"/>
      <c r="F66" s="43"/>
      <c r="G66" s="43"/>
    </row>
    <row r="67" spans="1:7" x14ac:dyDescent="0.2">
      <c r="A67" s="44"/>
      <c r="B67" s="44"/>
      <c r="C67" s="44"/>
      <c r="D67" s="44"/>
      <c r="E67" s="44"/>
      <c r="F67" s="44"/>
      <c r="G67" s="44"/>
    </row>
    <row r="68" spans="1:7" x14ac:dyDescent="0.2">
      <c r="A68" s="43"/>
      <c r="B68" s="44"/>
      <c r="C68" s="43"/>
      <c r="D68" s="43"/>
      <c r="E68" s="43"/>
      <c r="F68" s="43"/>
      <c r="G68" s="43"/>
    </row>
    <row r="69" spans="1:7" x14ac:dyDescent="0.2">
      <c r="A69" s="44"/>
      <c r="B69" s="44"/>
      <c r="C69" s="44"/>
      <c r="D69" s="44"/>
      <c r="E69" s="44"/>
      <c r="F69" s="44"/>
      <c r="G69" s="44"/>
    </row>
    <row r="70" spans="1:7" x14ac:dyDescent="0.2">
      <c r="A70" s="43"/>
      <c r="B70" s="44"/>
      <c r="C70" s="43"/>
      <c r="D70" s="43"/>
      <c r="E70" s="43"/>
      <c r="F70" s="43"/>
      <c r="G70" s="43"/>
    </row>
    <row r="71" spans="1:7" x14ac:dyDescent="0.2">
      <c r="A71" s="44"/>
      <c r="B71" s="44"/>
      <c r="C71" s="44"/>
      <c r="D71" s="44"/>
      <c r="E71" s="44"/>
      <c r="F71" s="44"/>
      <c r="G71" s="44"/>
    </row>
    <row r="72" spans="1:7" x14ac:dyDescent="0.2">
      <c r="A72" s="43"/>
      <c r="B72" s="44"/>
      <c r="C72" s="43"/>
      <c r="D72" s="43"/>
      <c r="E72" s="43"/>
      <c r="F72" s="43"/>
      <c r="G72" s="43"/>
    </row>
    <row r="73" spans="1:7" x14ac:dyDescent="0.2">
      <c r="A73" s="44"/>
      <c r="B73" s="44"/>
      <c r="C73" s="44"/>
      <c r="D73" s="44"/>
      <c r="E73" s="44"/>
      <c r="F73" s="44"/>
      <c r="G73" s="44"/>
    </row>
    <row r="74" spans="1:7" x14ac:dyDescent="0.2">
      <c r="A74" s="43"/>
      <c r="B74" s="44"/>
      <c r="C74" s="43"/>
      <c r="D74" s="43"/>
      <c r="E74" s="43"/>
      <c r="F74" s="43"/>
      <c r="G74" s="43"/>
    </row>
    <row r="75" spans="1:7" x14ac:dyDescent="0.2">
      <c r="A75" s="44"/>
      <c r="B75" s="44"/>
      <c r="C75" s="44"/>
      <c r="D75" s="44"/>
      <c r="E75" s="44"/>
      <c r="F75" s="44"/>
      <c r="G75" s="44"/>
    </row>
    <row r="76" spans="1:7" x14ac:dyDescent="0.2">
      <c r="A76" s="43"/>
      <c r="B76" s="44"/>
      <c r="C76" s="43"/>
      <c r="D76" s="43"/>
      <c r="E76" s="43"/>
      <c r="F76" s="43"/>
      <c r="G76" s="43"/>
    </row>
    <row r="77" spans="1:7" x14ac:dyDescent="0.2">
      <c r="A77" s="44"/>
      <c r="B77" s="44"/>
      <c r="C77" s="44"/>
      <c r="D77" s="44"/>
      <c r="E77" s="44"/>
      <c r="F77" s="44"/>
      <c r="G77" s="44"/>
    </row>
    <row r="78" spans="1:7" x14ac:dyDescent="0.2">
      <c r="A78" s="43"/>
      <c r="B78" s="44"/>
      <c r="C78" s="43"/>
      <c r="D78" s="43"/>
      <c r="E78" s="43"/>
      <c r="F78" s="43"/>
      <c r="G78" s="43"/>
    </row>
    <row r="79" spans="1:7" x14ac:dyDescent="0.2">
      <c r="A79" s="44"/>
      <c r="B79" s="44"/>
      <c r="C79" s="44"/>
      <c r="D79" s="44"/>
      <c r="E79" s="44"/>
      <c r="F79" s="44"/>
      <c r="G79" s="44"/>
    </row>
    <row r="80" spans="1:7" x14ac:dyDescent="0.2">
      <c r="A80" s="43"/>
      <c r="B80" s="44"/>
      <c r="C80" s="43"/>
      <c r="D80" s="43"/>
      <c r="E80" s="43"/>
      <c r="F80" s="43"/>
      <c r="G80" s="43"/>
    </row>
    <row r="81" spans="1:7" x14ac:dyDescent="0.2">
      <c r="A81" s="44"/>
      <c r="B81" s="44"/>
      <c r="C81" s="44"/>
      <c r="D81" s="44"/>
      <c r="E81" s="44"/>
      <c r="F81" s="44"/>
      <c r="G81" s="44"/>
    </row>
    <row r="82" spans="1:7" x14ac:dyDescent="0.2">
      <c r="A82" s="43"/>
      <c r="B82" s="44"/>
      <c r="C82" s="43"/>
      <c r="D82" s="43"/>
      <c r="E82" s="43"/>
      <c r="F82" s="43"/>
      <c r="G82" s="43"/>
    </row>
    <row r="83" spans="1:7" x14ac:dyDescent="0.2">
      <c r="A83" s="44"/>
      <c r="B83" s="44"/>
      <c r="C83" s="44"/>
      <c r="D83" s="44"/>
      <c r="E83" s="44"/>
      <c r="F83" s="44"/>
      <c r="G83" s="44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3"/>
      <c r="B85" s="44"/>
      <c r="C85" s="43"/>
      <c r="D85" s="43"/>
      <c r="E85" s="43"/>
      <c r="F85" s="43"/>
      <c r="G85" s="43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3"/>
      <c r="B87" s="44"/>
      <c r="C87" s="43"/>
      <c r="D87" s="43"/>
      <c r="E87" s="43"/>
      <c r="F87" s="43"/>
      <c r="G87" s="43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3"/>
      <c r="B89" s="44"/>
      <c r="C89" s="43"/>
      <c r="D89" s="43"/>
      <c r="E89" s="43"/>
      <c r="F89" s="43"/>
      <c r="G89" s="43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3"/>
      <c r="B91" s="44"/>
      <c r="C91" s="43"/>
      <c r="D91" s="43"/>
      <c r="E91" s="43"/>
      <c r="F91" s="43"/>
      <c r="G91" s="43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3"/>
      <c r="B93" s="44"/>
      <c r="C93" s="43"/>
      <c r="D93" s="43"/>
      <c r="E93" s="43"/>
      <c r="F93" s="43"/>
      <c r="G93" s="43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3"/>
      <c r="B95" s="44"/>
      <c r="C95" s="43"/>
      <c r="D95" s="43"/>
      <c r="E95" s="43"/>
      <c r="F95" s="43"/>
      <c r="G95" s="43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3"/>
      <c r="B97" s="44"/>
      <c r="C97" s="43"/>
      <c r="D97" s="43"/>
      <c r="E97" s="43"/>
      <c r="F97" s="43"/>
      <c r="G97" s="43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3"/>
      <c r="B99" s="44"/>
      <c r="C99" s="43"/>
      <c r="D99" s="43"/>
      <c r="E99" s="43"/>
      <c r="F99" s="43"/>
      <c r="G99" s="43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3"/>
      <c r="B101" s="44"/>
      <c r="C101" s="43"/>
      <c r="D101" s="43"/>
      <c r="E101" s="43"/>
      <c r="F101" s="43"/>
      <c r="G101" s="43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4"/>
      <c r="B103" s="44"/>
      <c r="C103" s="44"/>
      <c r="D103" s="44"/>
      <c r="E103" s="44"/>
      <c r="F103" s="44"/>
      <c r="G103" s="44"/>
    </row>
    <row r="104" spans="1:7" x14ac:dyDescent="0.2">
      <c r="A104" s="43"/>
      <c r="B104" s="44"/>
      <c r="C104" s="43"/>
      <c r="D104" s="43"/>
      <c r="E104" s="43"/>
      <c r="F104" s="43"/>
      <c r="G104" s="43"/>
    </row>
    <row r="105" spans="1:7" x14ac:dyDescent="0.2">
      <c r="A105" s="44"/>
      <c r="B105" s="44"/>
      <c r="C105" s="44"/>
      <c r="D105" s="44"/>
      <c r="E105" s="44"/>
      <c r="F105" s="44"/>
      <c r="G105" s="44"/>
    </row>
    <row r="106" spans="1:7" x14ac:dyDescent="0.2">
      <c r="A106" s="43"/>
      <c r="B106" s="44"/>
      <c r="C106" s="43"/>
      <c r="D106" s="43"/>
      <c r="E106" s="43"/>
      <c r="F106" s="43"/>
      <c r="G106" s="43"/>
    </row>
    <row r="107" spans="1:7" x14ac:dyDescent="0.2">
      <c r="A107" s="44"/>
      <c r="B107" s="44"/>
      <c r="C107" s="44"/>
      <c r="D107" s="44"/>
      <c r="E107" s="44"/>
      <c r="F107" s="44"/>
      <c r="G107" s="44"/>
    </row>
    <row r="108" spans="1:7" x14ac:dyDescent="0.2">
      <c r="A108" s="43"/>
      <c r="B108" s="44"/>
      <c r="C108" s="43"/>
      <c r="D108" s="43"/>
      <c r="E108" s="43"/>
      <c r="F108" s="43"/>
      <c r="G108" s="43"/>
    </row>
    <row r="109" spans="1:7" x14ac:dyDescent="0.2">
      <c r="A109" s="44"/>
      <c r="B109" s="44"/>
      <c r="C109" s="44"/>
      <c r="D109" s="44"/>
      <c r="E109" s="44"/>
      <c r="F109" s="44"/>
      <c r="G109" s="44"/>
    </row>
    <row r="110" spans="1:7" x14ac:dyDescent="0.2">
      <c r="A110" s="43"/>
      <c r="B110" s="44"/>
      <c r="C110" s="43"/>
      <c r="D110" s="43"/>
      <c r="E110" s="43"/>
      <c r="F110" s="43"/>
      <c r="G110" s="43"/>
    </row>
    <row r="111" spans="1:7" x14ac:dyDescent="0.2">
      <c r="A111" s="44"/>
      <c r="B111" s="44"/>
      <c r="C111" s="44"/>
      <c r="D111" s="44"/>
      <c r="E111" s="44"/>
      <c r="F111" s="44"/>
      <c r="G111" s="44"/>
    </row>
    <row r="112" spans="1:7" x14ac:dyDescent="0.2">
      <c r="A112" s="43"/>
      <c r="B112" s="44"/>
      <c r="C112" s="43"/>
      <c r="D112" s="43"/>
      <c r="E112" s="43"/>
      <c r="F112" s="43"/>
      <c r="G112" s="43"/>
    </row>
    <row r="113" spans="1:7" x14ac:dyDescent="0.2">
      <c r="A113" s="44"/>
      <c r="B113" s="44"/>
      <c r="C113" s="44"/>
      <c r="D113" s="44"/>
      <c r="E113" s="44"/>
      <c r="F113" s="44"/>
      <c r="G113" s="44"/>
    </row>
    <row r="114" spans="1:7" x14ac:dyDescent="0.2">
      <c r="A114" s="43"/>
      <c r="B114" s="44"/>
      <c r="C114" s="43"/>
      <c r="D114" s="43"/>
      <c r="E114" s="43"/>
      <c r="F114" s="43"/>
      <c r="G114" s="43"/>
    </row>
    <row r="115" spans="1:7" x14ac:dyDescent="0.2">
      <c r="A115" s="44"/>
      <c r="B115" s="44"/>
      <c r="C115" s="44"/>
      <c r="D115" s="44"/>
      <c r="E115" s="44"/>
      <c r="F115" s="44"/>
      <c r="G115" s="44"/>
    </row>
    <row r="116" spans="1:7" x14ac:dyDescent="0.2">
      <c r="A116" s="43"/>
      <c r="B116" s="44"/>
      <c r="C116" s="43"/>
      <c r="D116" s="43"/>
      <c r="E116" s="43"/>
      <c r="F116" s="43"/>
      <c r="G116" s="43"/>
    </row>
    <row r="117" spans="1:7" x14ac:dyDescent="0.2">
      <c r="A117" s="44"/>
      <c r="B117" s="44"/>
      <c r="C117" s="44"/>
      <c r="D117" s="44"/>
      <c r="E117" s="44"/>
      <c r="F117" s="44"/>
      <c r="G117" s="44"/>
    </row>
    <row r="118" spans="1:7" x14ac:dyDescent="0.2">
      <c r="A118" s="43"/>
      <c r="B118" s="44"/>
      <c r="C118" s="43"/>
      <c r="D118" s="43"/>
      <c r="E118" s="43"/>
      <c r="F118" s="43"/>
      <c r="G118" s="43"/>
    </row>
    <row r="119" spans="1:7" x14ac:dyDescent="0.2">
      <c r="A119" s="44"/>
      <c r="B119" s="44"/>
      <c r="C119" s="44"/>
      <c r="D119" s="44"/>
      <c r="E119" s="44"/>
      <c r="F119" s="44"/>
      <c r="G119" s="44"/>
    </row>
    <row r="120" spans="1:7" x14ac:dyDescent="0.2">
      <c r="A120" s="43"/>
      <c r="B120" s="44"/>
      <c r="C120" s="43"/>
      <c r="D120" s="43"/>
      <c r="E120" s="43"/>
      <c r="F120" s="43"/>
      <c r="G120" s="43"/>
    </row>
    <row r="121" spans="1:7" x14ac:dyDescent="0.2">
      <c r="A121" s="44"/>
      <c r="B121" s="44"/>
      <c r="C121" s="44"/>
      <c r="D121" s="44"/>
      <c r="E121" s="44"/>
      <c r="F121" s="44"/>
      <c r="G121" s="44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3"/>
      <c r="B123" s="43"/>
      <c r="C123" s="43"/>
      <c r="D123" s="43"/>
      <c r="E123" s="43"/>
      <c r="F123" s="43"/>
      <c r="G123" s="43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3"/>
      <c r="B125" s="43"/>
      <c r="C125" s="43"/>
      <c r="D125" s="43"/>
      <c r="E125" s="43"/>
      <c r="F125" s="43"/>
      <c r="G125" s="43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3"/>
      <c r="B127" s="43"/>
      <c r="C127" s="43"/>
      <c r="D127" s="43"/>
      <c r="E127" s="43"/>
      <c r="F127" s="43"/>
      <c r="G127" s="43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9" x14ac:dyDescent="0.2">
      <c r="A129" s="43"/>
      <c r="B129" s="43"/>
      <c r="C129" s="43"/>
      <c r="D129" s="43"/>
      <c r="E129" s="43"/>
      <c r="F129" s="43"/>
      <c r="G129" s="43"/>
    </row>
    <row r="130" spans="1:9" x14ac:dyDescent="0.2">
      <c r="A130" s="44"/>
      <c r="B130" s="44"/>
      <c r="C130" s="44"/>
      <c r="D130" s="44"/>
      <c r="E130" s="44"/>
      <c r="F130" s="44"/>
      <c r="G130" s="44"/>
    </row>
    <row r="131" spans="1:9" x14ac:dyDescent="0.2">
      <c r="A131" s="43"/>
      <c r="B131" s="43"/>
      <c r="C131" s="43"/>
      <c r="D131" s="43"/>
      <c r="E131" s="43"/>
      <c r="F131" s="43"/>
      <c r="G131" s="43"/>
    </row>
    <row r="132" spans="1:9" x14ac:dyDescent="0.2">
      <c r="A132" s="44"/>
      <c r="B132" s="44"/>
      <c r="C132" s="44"/>
      <c r="D132" s="44"/>
      <c r="E132" s="44"/>
      <c r="F132" s="44"/>
      <c r="G132" s="44"/>
    </row>
    <row r="133" spans="1:9" x14ac:dyDescent="0.2">
      <c r="A133" s="43"/>
      <c r="B133" s="43"/>
      <c r="C133" s="43"/>
      <c r="D133" s="43"/>
      <c r="E133" s="43"/>
      <c r="F133" s="43"/>
      <c r="G133" s="43"/>
      <c r="I133" s="41" t="s">
        <v>177</v>
      </c>
    </row>
    <row r="134" spans="1:9" x14ac:dyDescent="0.2">
      <c r="A134" s="44"/>
      <c r="B134" s="44"/>
      <c r="C134" s="44"/>
      <c r="D134" s="44"/>
      <c r="E134" s="44"/>
      <c r="F134" s="44"/>
      <c r="G134" s="44"/>
    </row>
    <row r="135" spans="1:9" x14ac:dyDescent="0.2">
      <c r="A135" s="43"/>
      <c r="B135" s="43"/>
      <c r="C135" s="43"/>
      <c r="D135" s="43"/>
      <c r="E135" s="43"/>
      <c r="F135" s="43"/>
      <c r="G135" s="43"/>
    </row>
    <row r="136" spans="1:9" x14ac:dyDescent="0.2">
      <c r="A136" s="44"/>
      <c r="B136" s="44"/>
      <c r="C136" s="44"/>
      <c r="D136" s="44"/>
      <c r="E136" s="44"/>
      <c r="F136" s="44"/>
      <c r="G136" s="44"/>
    </row>
    <row r="137" spans="1:9" x14ac:dyDescent="0.2">
      <c r="A137" s="43"/>
      <c r="B137" s="43"/>
      <c r="C137" s="43"/>
      <c r="D137" s="43"/>
      <c r="E137" s="43"/>
      <c r="F137" s="43"/>
      <c r="G137" s="43"/>
    </row>
    <row r="138" spans="1:9" x14ac:dyDescent="0.2">
      <c r="A138" s="44"/>
      <c r="B138" s="44"/>
      <c r="C138" s="44"/>
      <c r="D138" s="44"/>
      <c r="E138" s="44"/>
      <c r="F138" s="44"/>
      <c r="G138" s="44"/>
    </row>
    <row r="139" spans="1:9" x14ac:dyDescent="0.2">
      <c r="A139" s="43"/>
      <c r="B139" s="43"/>
      <c r="C139" s="43"/>
      <c r="D139" s="43"/>
      <c r="E139" s="43"/>
      <c r="F139" s="43"/>
      <c r="G139" s="43"/>
    </row>
    <row r="140" spans="1:9" x14ac:dyDescent="0.2">
      <c r="A140" s="44"/>
      <c r="B140" s="44"/>
      <c r="C140" s="44"/>
      <c r="D140" s="44"/>
      <c r="E140" s="44"/>
      <c r="F140" s="44"/>
      <c r="G140" s="44"/>
    </row>
    <row r="141" spans="1:9" x14ac:dyDescent="0.2">
      <c r="A141" s="44"/>
      <c r="B141" s="44"/>
      <c r="C141" s="44"/>
      <c r="D141" s="44"/>
      <c r="E141" s="44"/>
      <c r="F141" s="44"/>
      <c r="G141" s="44"/>
    </row>
    <row r="142" spans="1:9" x14ac:dyDescent="0.2">
      <c r="A142" s="43"/>
      <c r="B142" s="43"/>
      <c r="C142" s="43"/>
      <c r="D142" s="43"/>
      <c r="E142" s="43"/>
      <c r="F142" s="43"/>
      <c r="G142" s="43"/>
    </row>
    <row r="143" spans="1:9" x14ac:dyDescent="0.2">
      <c r="A143" s="44"/>
      <c r="B143" s="44"/>
      <c r="C143" s="44"/>
      <c r="D143" s="44"/>
      <c r="E143" s="44"/>
      <c r="F143" s="44"/>
      <c r="G143" s="44"/>
    </row>
    <row r="144" spans="1:9" x14ac:dyDescent="0.2">
      <c r="A144" s="43"/>
      <c r="B144" s="43"/>
      <c r="C144" s="43"/>
      <c r="D144" s="43"/>
      <c r="E144" s="43"/>
      <c r="F144" s="43"/>
      <c r="G144" s="43"/>
    </row>
    <row r="145" spans="1:10" x14ac:dyDescent="0.2">
      <c r="A145" s="44"/>
      <c r="B145" s="44"/>
      <c r="C145" s="44"/>
      <c r="D145" s="44"/>
      <c r="E145" s="44"/>
      <c r="F145" s="44"/>
      <c r="G145" s="44"/>
    </row>
    <row r="146" spans="1:10" x14ac:dyDescent="0.2">
      <c r="A146" s="43"/>
      <c r="B146" s="43"/>
      <c r="C146" s="43"/>
      <c r="D146" s="43"/>
      <c r="E146" s="43"/>
      <c r="F146" s="43"/>
      <c r="G146" s="43"/>
    </row>
    <row r="147" spans="1:10" x14ac:dyDescent="0.2">
      <c r="A147" s="44"/>
      <c r="B147" s="44"/>
      <c r="C147" s="44"/>
      <c r="D147" s="44"/>
      <c r="E147" s="44"/>
      <c r="F147" s="44"/>
      <c r="G147" s="44"/>
    </row>
    <row r="148" spans="1:10" x14ac:dyDescent="0.2">
      <c r="A148" s="43"/>
      <c r="B148" s="43"/>
      <c r="C148" s="43"/>
      <c r="D148" s="43"/>
      <c r="E148" s="43"/>
      <c r="F148" s="43"/>
      <c r="G148" s="43"/>
      <c r="I148" s="41" t="s">
        <v>177</v>
      </c>
      <c r="J148" s="41" t="s">
        <v>177</v>
      </c>
    </row>
    <row r="149" spans="1:10" x14ac:dyDescent="0.2">
      <c r="A149" s="44"/>
      <c r="B149" s="44"/>
      <c r="C149" s="44"/>
      <c r="D149" s="44"/>
      <c r="E149" s="44"/>
      <c r="F149" s="44"/>
      <c r="G149" s="44"/>
    </row>
    <row r="150" spans="1:10" x14ac:dyDescent="0.2">
      <c r="A150" s="43"/>
      <c r="B150" s="43"/>
      <c r="C150" s="43"/>
      <c r="D150" s="43"/>
      <c r="E150" s="43"/>
      <c r="F150" s="43"/>
      <c r="G150" s="43"/>
    </row>
    <row r="151" spans="1:10" x14ac:dyDescent="0.2">
      <c r="A151" s="44"/>
      <c r="B151" s="44"/>
      <c r="C151" s="44"/>
      <c r="D151" s="44"/>
      <c r="E151" s="44"/>
      <c r="F151" s="44"/>
      <c r="G151" s="44"/>
    </row>
    <row r="152" spans="1:10" x14ac:dyDescent="0.2">
      <c r="A152" s="43"/>
      <c r="B152" s="43"/>
      <c r="C152" s="43"/>
      <c r="D152" s="43"/>
      <c r="E152" s="43"/>
      <c r="F152" s="43"/>
      <c r="G152" s="43"/>
    </row>
    <row r="153" spans="1:10" x14ac:dyDescent="0.2">
      <c r="A153" s="44"/>
      <c r="B153" s="44"/>
      <c r="C153" s="44"/>
      <c r="D153" s="44"/>
      <c r="E153" s="44"/>
      <c r="F153" s="44"/>
      <c r="G153" s="44"/>
    </row>
    <row r="154" spans="1:10" x14ac:dyDescent="0.2">
      <c r="A154" s="43"/>
      <c r="B154" s="43"/>
      <c r="C154" s="43"/>
      <c r="D154" s="43"/>
      <c r="E154" s="43"/>
      <c r="F154" s="43"/>
      <c r="G154" s="43"/>
    </row>
    <row r="155" spans="1:10" x14ac:dyDescent="0.2">
      <c r="A155" s="44"/>
      <c r="B155" s="44"/>
      <c r="C155" s="44"/>
      <c r="D155" s="44"/>
      <c r="E155" s="44"/>
      <c r="F155" s="44"/>
      <c r="G155" s="44"/>
    </row>
    <row r="156" spans="1:10" x14ac:dyDescent="0.2">
      <c r="A156" s="43"/>
      <c r="B156" s="43"/>
      <c r="C156" s="43"/>
      <c r="D156" s="43"/>
      <c r="E156" s="43"/>
      <c r="F156" s="43"/>
      <c r="G156" s="43"/>
    </row>
    <row r="157" spans="1:10" x14ac:dyDescent="0.2">
      <c r="A157" s="44"/>
      <c r="B157" s="44"/>
      <c r="C157" s="44"/>
      <c r="D157" s="44"/>
      <c r="E157" s="44"/>
      <c r="F157" s="44"/>
      <c r="G157" s="44"/>
    </row>
    <row r="158" spans="1:10" x14ac:dyDescent="0.2">
      <c r="A158" s="43"/>
      <c r="B158" s="43"/>
      <c r="C158" s="43"/>
      <c r="D158" s="43"/>
      <c r="E158" s="43"/>
      <c r="F158" s="43"/>
      <c r="G158" s="43"/>
    </row>
    <row r="159" spans="1:10" x14ac:dyDescent="0.2">
      <c r="A159" s="44"/>
      <c r="B159" s="44"/>
      <c r="C159" s="44"/>
      <c r="D159" s="44"/>
      <c r="E159" s="44"/>
      <c r="F159" s="44"/>
      <c r="G159" s="44"/>
    </row>
    <row r="160" spans="1:10" x14ac:dyDescent="0.2">
      <c r="A160" s="44"/>
      <c r="B160" s="44"/>
      <c r="C160" s="44"/>
      <c r="D160" s="44"/>
      <c r="E160" s="44"/>
      <c r="F160" s="44"/>
      <c r="G160" s="44"/>
    </row>
    <row r="161" spans="1:10" x14ac:dyDescent="0.2">
      <c r="A161" s="43"/>
      <c r="B161" s="43"/>
      <c r="C161" s="43"/>
      <c r="D161" s="43"/>
      <c r="E161" s="43"/>
      <c r="F161" s="43"/>
      <c r="G161" s="43"/>
    </row>
    <row r="162" spans="1:10" x14ac:dyDescent="0.2">
      <c r="A162" s="44"/>
      <c r="B162" s="44"/>
      <c r="C162" s="44"/>
      <c r="D162" s="44"/>
      <c r="E162" s="44"/>
      <c r="F162" s="44"/>
      <c r="G162" s="44"/>
    </row>
    <row r="163" spans="1:10" x14ac:dyDescent="0.2">
      <c r="A163" s="43"/>
      <c r="B163" s="43"/>
      <c r="C163" s="43"/>
      <c r="D163" s="43"/>
      <c r="E163" s="43"/>
      <c r="F163" s="43"/>
      <c r="G163" s="43"/>
    </row>
    <row r="164" spans="1:10" x14ac:dyDescent="0.2">
      <c r="A164" s="44"/>
      <c r="B164" s="44"/>
      <c r="C164" s="44"/>
      <c r="D164" s="44"/>
      <c r="E164" s="44"/>
      <c r="F164" s="44"/>
      <c r="G164" s="44"/>
    </row>
    <row r="165" spans="1:10" x14ac:dyDescent="0.2">
      <c r="A165" s="43"/>
      <c r="B165" s="43"/>
      <c r="C165" s="43"/>
      <c r="D165" s="43"/>
      <c r="E165" s="43"/>
      <c r="F165" s="43"/>
      <c r="G165" s="43"/>
    </row>
    <row r="166" spans="1:10" x14ac:dyDescent="0.2">
      <c r="A166" s="44"/>
      <c r="B166" s="44"/>
      <c r="C166" s="44"/>
      <c r="D166" s="44"/>
      <c r="E166" s="44"/>
      <c r="F166" s="44"/>
      <c r="G166" s="44"/>
    </row>
    <row r="167" spans="1:10" x14ac:dyDescent="0.2">
      <c r="A167" s="43"/>
      <c r="B167" s="43"/>
      <c r="C167" s="43"/>
      <c r="D167" s="43"/>
      <c r="E167" s="43"/>
      <c r="F167" s="43"/>
      <c r="G167" s="43"/>
    </row>
    <row r="168" spans="1:10" x14ac:dyDescent="0.2">
      <c r="A168" s="44"/>
      <c r="B168" s="44"/>
      <c r="C168" s="44"/>
      <c r="D168" s="44"/>
      <c r="E168" s="44"/>
      <c r="F168" s="44"/>
      <c r="G168" s="44"/>
    </row>
    <row r="169" spans="1:10" x14ac:dyDescent="0.2">
      <c r="A169" s="43"/>
      <c r="B169" s="43"/>
      <c r="C169" s="43"/>
      <c r="D169" s="43"/>
      <c r="E169" s="43"/>
      <c r="F169" s="43"/>
      <c r="G169" s="43"/>
      <c r="J169" s="41" t="s">
        <v>177</v>
      </c>
    </row>
    <row r="170" spans="1:10" x14ac:dyDescent="0.2">
      <c r="A170" s="44"/>
      <c r="B170" s="44"/>
      <c r="C170" s="44"/>
      <c r="D170" s="44"/>
      <c r="E170" s="44"/>
      <c r="F170" s="44"/>
      <c r="G170" s="44"/>
    </row>
    <row r="171" spans="1:10" x14ac:dyDescent="0.2">
      <c r="A171" s="43"/>
      <c r="B171" s="43"/>
      <c r="C171" s="43"/>
      <c r="D171" s="43"/>
      <c r="E171" s="43"/>
      <c r="F171" s="43"/>
      <c r="G171" s="43"/>
    </row>
    <row r="172" spans="1:10" x14ac:dyDescent="0.2">
      <c r="A172" s="44"/>
      <c r="B172" s="44"/>
      <c r="C172" s="44"/>
      <c r="D172" s="44"/>
      <c r="E172" s="44"/>
      <c r="F172" s="44"/>
      <c r="G172" s="44"/>
    </row>
    <row r="173" spans="1:10" x14ac:dyDescent="0.2">
      <c r="A173" s="43"/>
      <c r="B173" s="43"/>
      <c r="C173" s="43"/>
      <c r="D173" s="43"/>
      <c r="E173" s="43"/>
      <c r="F173" s="43"/>
      <c r="G173" s="43"/>
    </row>
    <row r="174" spans="1:10" x14ac:dyDescent="0.2">
      <c r="A174" s="44"/>
      <c r="B174" s="44"/>
      <c r="C174" s="44"/>
      <c r="D174" s="44"/>
      <c r="E174" s="44"/>
      <c r="F174" s="44"/>
      <c r="G174" s="44"/>
    </row>
    <row r="175" spans="1:10" x14ac:dyDescent="0.2">
      <c r="A175" s="43"/>
      <c r="B175" s="43"/>
      <c r="C175" s="43"/>
      <c r="D175" s="43"/>
      <c r="E175" s="43"/>
      <c r="F175" s="43"/>
      <c r="G175" s="43"/>
    </row>
    <row r="176" spans="1:10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07"/>
  <sheetViews>
    <sheetView workbookViewId="0">
      <selection activeCell="N37" sqref="N37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12" x14ac:dyDescent="0.2">
      <c r="A1" s="40" t="s">
        <v>103</v>
      </c>
      <c r="B1" s="40" t="s">
        <v>129</v>
      </c>
      <c r="G1" s="42" t="s">
        <v>109</v>
      </c>
    </row>
    <row r="3" spans="1:12" x14ac:dyDescent="0.2">
      <c r="A3" s="42" t="s">
        <v>104</v>
      </c>
    </row>
    <row r="4" spans="1:12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105</v>
      </c>
    </row>
    <row r="6" spans="1:12" x14ac:dyDescent="0.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129</v>
      </c>
      <c r="F8" s="40" t="s">
        <v>106</v>
      </c>
      <c r="G8" s="40" t="s">
        <v>108</v>
      </c>
      <c r="J8" s="42" t="s">
        <v>113</v>
      </c>
    </row>
    <row r="9" spans="1:12" x14ac:dyDescent="0.2">
      <c r="A9" s="44">
        <v>2004</v>
      </c>
      <c r="B9" s="44" t="s">
        <v>228</v>
      </c>
      <c r="C9" s="44" t="s">
        <v>44</v>
      </c>
      <c r="D9" s="44" t="s">
        <v>256</v>
      </c>
      <c r="E9" s="44">
        <v>4854</v>
      </c>
      <c r="F9" s="44"/>
      <c r="G9" s="44">
        <v>970.80000000000007</v>
      </c>
    </row>
    <row r="10" spans="1:12" x14ac:dyDescent="0.2">
      <c r="A10" s="43">
        <v>2005</v>
      </c>
      <c r="B10" s="44" t="s">
        <v>228</v>
      </c>
      <c r="C10" s="43" t="s">
        <v>44</v>
      </c>
      <c r="D10" s="43" t="s">
        <v>256</v>
      </c>
      <c r="E10" s="43">
        <v>10049</v>
      </c>
      <c r="F10" s="43"/>
      <c r="G10" s="43">
        <v>2009.8000000000002</v>
      </c>
    </row>
    <row r="11" spans="1:12" x14ac:dyDescent="0.2">
      <c r="A11" s="44">
        <v>2006</v>
      </c>
      <c r="B11" s="44" t="s">
        <v>228</v>
      </c>
      <c r="C11" s="44" t="s">
        <v>44</v>
      </c>
      <c r="D11" s="44" t="s">
        <v>256</v>
      </c>
      <c r="E11" s="44">
        <v>22323</v>
      </c>
      <c r="F11" s="44"/>
      <c r="G11" s="44">
        <v>4464.6000000000004</v>
      </c>
    </row>
    <row r="12" spans="1:12" x14ac:dyDescent="0.2">
      <c r="A12" s="43">
        <v>2007</v>
      </c>
      <c r="B12" s="44" t="s">
        <v>228</v>
      </c>
      <c r="C12" s="43" t="s">
        <v>44</v>
      </c>
      <c r="D12" s="43" t="s">
        <v>256</v>
      </c>
      <c r="E12" s="43">
        <v>37527</v>
      </c>
      <c r="F12" s="43"/>
      <c r="G12" s="43">
        <v>7505.4000000000005</v>
      </c>
    </row>
    <row r="13" spans="1:12" x14ac:dyDescent="0.2">
      <c r="A13" s="44">
        <v>2008</v>
      </c>
      <c r="B13" s="44" t="s">
        <v>228</v>
      </c>
      <c r="C13" s="44" t="s">
        <v>44</v>
      </c>
      <c r="D13" s="44" t="s">
        <v>256</v>
      </c>
      <c r="E13" s="44">
        <v>57603</v>
      </c>
      <c r="F13" s="44"/>
      <c r="G13" s="44">
        <v>11520.6</v>
      </c>
    </row>
    <row r="14" spans="1:12" x14ac:dyDescent="0.2">
      <c r="A14" s="43">
        <v>2009</v>
      </c>
      <c r="B14" s="44" t="s">
        <v>228</v>
      </c>
      <c r="C14" s="43" t="s">
        <v>44</v>
      </c>
      <c r="D14" s="43" t="s">
        <v>256</v>
      </c>
      <c r="E14" s="43">
        <v>82266</v>
      </c>
      <c r="F14" s="43"/>
      <c r="G14" s="43">
        <v>16453.2</v>
      </c>
    </row>
    <row r="15" spans="1:12" x14ac:dyDescent="0.2">
      <c r="A15" s="44">
        <v>2010</v>
      </c>
      <c r="B15" s="44" t="s">
        <v>228</v>
      </c>
      <c r="C15" s="44" t="s">
        <v>44</v>
      </c>
      <c r="D15" s="44" t="s">
        <v>256</v>
      </c>
      <c r="E15" s="44">
        <v>119235</v>
      </c>
      <c r="F15" s="44"/>
      <c r="G15" s="44">
        <v>23847</v>
      </c>
    </row>
    <row r="16" spans="1:12" x14ac:dyDescent="0.2">
      <c r="A16" s="43">
        <v>2011</v>
      </c>
      <c r="B16" s="44" t="s">
        <v>228</v>
      </c>
      <c r="C16" s="43" t="s">
        <v>44</v>
      </c>
      <c r="D16" s="43" t="s">
        <v>256</v>
      </c>
      <c r="E16" s="43">
        <v>148551</v>
      </c>
      <c r="F16" s="43"/>
      <c r="G16" s="43">
        <v>29710.2</v>
      </c>
    </row>
    <row r="17" spans="1:7" x14ac:dyDescent="0.2">
      <c r="A17" s="44">
        <v>2012</v>
      </c>
      <c r="B17" s="44" t="s">
        <v>228</v>
      </c>
      <c r="C17" s="44" t="s">
        <v>44</v>
      </c>
      <c r="D17" s="44" t="s">
        <v>256</v>
      </c>
      <c r="E17" s="44">
        <v>178027</v>
      </c>
      <c r="F17" s="44"/>
      <c r="G17" s="44">
        <v>35605.4</v>
      </c>
    </row>
    <row r="18" spans="1:7" x14ac:dyDescent="0.2">
      <c r="A18" s="43">
        <v>2013</v>
      </c>
      <c r="B18" s="44" t="s">
        <v>228</v>
      </c>
      <c r="C18" s="43" t="s">
        <v>44</v>
      </c>
      <c r="D18" s="43" t="s">
        <v>256</v>
      </c>
      <c r="E18" s="43">
        <v>245690</v>
      </c>
      <c r="F18" s="43"/>
      <c r="G18" s="43">
        <v>49138</v>
      </c>
    </row>
    <row r="19" spans="1:7" x14ac:dyDescent="0.2">
      <c r="A19" s="44">
        <v>2014</v>
      </c>
      <c r="B19" s="44" t="s">
        <v>228</v>
      </c>
      <c r="C19" s="44" t="s">
        <v>44</v>
      </c>
      <c r="D19" s="44" t="s">
        <v>256</v>
      </c>
      <c r="E19" s="44">
        <v>264614</v>
      </c>
      <c r="F19" s="44"/>
      <c r="G19" s="44">
        <v>52922.8</v>
      </c>
    </row>
    <row r="20" spans="1:7" x14ac:dyDescent="0.2">
      <c r="A20" s="43">
        <v>2016</v>
      </c>
      <c r="B20" s="44" t="s">
        <v>228</v>
      </c>
      <c r="C20" s="43" t="s">
        <v>44</v>
      </c>
      <c r="D20" s="43" t="s">
        <v>256</v>
      </c>
      <c r="E20" s="43">
        <v>361399</v>
      </c>
      <c r="F20" s="43"/>
      <c r="G20" s="43">
        <v>72279.8</v>
      </c>
    </row>
    <row r="21" spans="1:7" x14ac:dyDescent="0.2">
      <c r="A21" s="43">
        <v>2017</v>
      </c>
      <c r="B21" s="44" t="s">
        <v>228</v>
      </c>
      <c r="C21" s="43" t="s">
        <v>44</v>
      </c>
      <c r="D21" s="43" t="s">
        <v>256</v>
      </c>
      <c r="E21" s="43">
        <v>388658</v>
      </c>
      <c r="F21" s="43"/>
      <c r="G21" s="43">
        <v>77731.600000000006</v>
      </c>
    </row>
    <row r="22" spans="1:7" x14ac:dyDescent="0.2">
      <c r="A22" s="44">
        <v>2004</v>
      </c>
      <c r="B22" s="44" t="s">
        <v>228</v>
      </c>
      <c r="C22" s="44" t="s">
        <v>43</v>
      </c>
      <c r="D22" s="44" t="s">
        <v>256</v>
      </c>
      <c r="E22" s="44">
        <v>6146</v>
      </c>
      <c r="F22" s="44"/>
      <c r="G22" s="44">
        <v>1229.2</v>
      </c>
    </row>
    <row r="23" spans="1:7" x14ac:dyDescent="0.2">
      <c r="A23" s="43">
        <v>2005</v>
      </c>
      <c r="B23" s="44" t="s">
        <v>228</v>
      </c>
      <c r="C23" s="43" t="s">
        <v>43</v>
      </c>
      <c r="D23" s="43" t="s">
        <v>256</v>
      </c>
      <c r="E23" s="43">
        <v>15818</v>
      </c>
      <c r="F23" s="43"/>
      <c r="G23" s="43">
        <v>3163.6000000000004</v>
      </c>
    </row>
    <row r="24" spans="1:7" x14ac:dyDescent="0.2">
      <c r="A24" s="44">
        <v>2006</v>
      </c>
      <c r="B24" s="44" t="s">
        <v>228</v>
      </c>
      <c r="C24" s="44" t="s">
        <v>43</v>
      </c>
      <c r="D24" s="44" t="s">
        <v>256</v>
      </c>
      <c r="E24" s="44">
        <v>31309</v>
      </c>
      <c r="F24" s="44"/>
      <c r="G24" s="44">
        <v>6261.8</v>
      </c>
    </row>
    <row r="25" spans="1:7" x14ac:dyDescent="0.2">
      <c r="A25" s="43">
        <v>2007</v>
      </c>
      <c r="B25" s="44" t="s">
        <v>228</v>
      </c>
      <c r="C25" s="43" t="s">
        <v>43</v>
      </c>
      <c r="D25" s="43" t="s">
        <v>256</v>
      </c>
      <c r="E25" s="43">
        <v>52562</v>
      </c>
      <c r="F25" s="43"/>
      <c r="G25" s="43">
        <v>10512.400000000001</v>
      </c>
    </row>
    <row r="26" spans="1:7" x14ac:dyDescent="0.2">
      <c r="A26" s="44">
        <v>2008</v>
      </c>
      <c r="B26" s="44" t="s">
        <v>228</v>
      </c>
      <c r="C26" s="44" t="s">
        <v>43</v>
      </c>
      <c r="D26" s="44" t="s">
        <v>256</v>
      </c>
      <c r="E26" s="44">
        <v>77120</v>
      </c>
      <c r="F26" s="44"/>
      <c r="G26" s="44">
        <v>15424</v>
      </c>
    </row>
    <row r="27" spans="1:7" x14ac:dyDescent="0.2">
      <c r="A27" s="43">
        <v>2009</v>
      </c>
      <c r="B27" s="44" t="s">
        <v>228</v>
      </c>
      <c r="C27" s="43" t="s">
        <v>43</v>
      </c>
      <c r="D27" s="43" t="s">
        <v>256</v>
      </c>
      <c r="E27" s="43">
        <v>117364</v>
      </c>
      <c r="F27" s="43"/>
      <c r="G27" s="43">
        <v>23472.800000000003</v>
      </c>
    </row>
    <row r="28" spans="1:7" x14ac:dyDescent="0.2">
      <c r="A28" s="44">
        <v>2010</v>
      </c>
      <c r="B28" s="44" t="s">
        <v>228</v>
      </c>
      <c r="C28" s="44" t="s">
        <v>43</v>
      </c>
      <c r="D28" s="44" t="s">
        <v>256</v>
      </c>
      <c r="E28" s="44">
        <v>211144</v>
      </c>
      <c r="F28" s="44"/>
      <c r="G28" s="44">
        <v>42228.800000000003</v>
      </c>
    </row>
    <row r="29" spans="1:7" x14ac:dyDescent="0.2">
      <c r="A29" s="43">
        <v>2011</v>
      </c>
      <c r="B29" s="44" t="s">
        <v>228</v>
      </c>
      <c r="C29" s="43" t="s">
        <v>43</v>
      </c>
      <c r="D29" s="43" t="s">
        <v>256</v>
      </c>
      <c r="E29" s="43">
        <v>296112</v>
      </c>
      <c r="F29" s="43"/>
      <c r="G29" s="43">
        <v>59222.400000000001</v>
      </c>
    </row>
    <row r="30" spans="1:7" x14ac:dyDescent="0.2">
      <c r="A30" s="44">
        <v>2012</v>
      </c>
      <c r="B30" s="44" t="s">
        <v>228</v>
      </c>
      <c r="C30" s="44" t="s">
        <v>43</v>
      </c>
      <c r="D30" s="44" t="s">
        <v>256</v>
      </c>
      <c r="E30" s="44">
        <v>340774</v>
      </c>
      <c r="F30" s="44"/>
      <c r="G30" s="44">
        <v>68154.8</v>
      </c>
    </row>
    <row r="31" spans="1:7" x14ac:dyDescent="0.2">
      <c r="A31" s="43">
        <v>2013</v>
      </c>
      <c r="B31" s="44" t="s">
        <v>228</v>
      </c>
      <c r="C31" s="43" t="s">
        <v>43</v>
      </c>
      <c r="D31" s="43" t="s">
        <v>256</v>
      </c>
      <c r="E31" s="43">
        <v>373190</v>
      </c>
      <c r="F31" s="43"/>
      <c r="G31" s="43">
        <v>74638</v>
      </c>
    </row>
    <row r="32" spans="1:7" x14ac:dyDescent="0.2">
      <c r="A32" s="44">
        <v>2014</v>
      </c>
      <c r="B32" s="44" t="s">
        <v>228</v>
      </c>
      <c r="C32" s="44" t="s">
        <v>43</v>
      </c>
      <c r="D32" s="44" t="s">
        <v>256</v>
      </c>
      <c r="E32" s="44">
        <v>468305</v>
      </c>
      <c r="F32" s="44"/>
      <c r="G32" s="44">
        <v>93661</v>
      </c>
    </row>
    <row r="33" spans="1:7" x14ac:dyDescent="0.2">
      <c r="A33" s="43">
        <v>2016</v>
      </c>
      <c r="B33" s="43" t="s">
        <v>228</v>
      </c>
      <c r="C33" s="43" t="s">
        <v>43</v>
      </c>
      <c r="D33" s="43" t="s">
        <v>256</v>
      </c>
      <c r="E33" s="43">
        <v>579378</v>
      </c>
      <c r="F33" s="43"/>
      <c r="G33" s="43">
        <v>115875.6</v>
      </c>
    </row>
    <row r="34" spans="1:7" x14ac:dyDescent="0.2">
      <c r="A34" s="44">
        <v>2017</v>
      </c>
      <c r="B34" s="44" t="s">
        <v>228</v>
      </c>
      <c r="C34" s="44" t="s">
        <v>43</v>
      </c>
      <c r="D34" s="44" t="s">
        <v>256</v>
      </c>
      <c r="E34" s="44">
        <v>663132</v>
      </c>
      <c r="F34" s="44"/>
      <c r="G34" s="44">
        <v>132626.4</v>
      </c>
    </row>
    <row r="35" spans="1:7" x14ac:dyDescent="0.2">
      <c r="A35" s="43"/>
      <c r="B35" s="43"/>
      <c r="C35" s="43"/>
      <c r="D35" s="43"/>
      <c r="E35" s="43"/>
      <c r="F35" s="43"/>
      <c r="G35" s="43"/>
    </row>
    <row r="36" spans="1:7" x14ac:dyDescent="0.2">
      <c r="A36" s="44"/>
      <c r="B36" s="44"/>
      <c r="C36" s="44"/>
      <c r="D36" s="44"/>
      <c r="E36" s="44"/>
      <c r="F36" s="44"/>
      <c r="G36" s="44"/>
    </row>
    <row r="37" spans="1:7" x14ac:dyDescent="0.2">
      <c r="A37" s="43"/>
      <c r="B37" s="43"/>
      <c r="C37" s="43"/>
      <c r="D37" s="43"/>
      <c r="E37" s="43"/>
      <c r="F37" s="43"/>
      <c r="G37" s="43"/>
    </row>
    <row r="38" spans="1:7" x14ac:dyDescent="0.2">
      <c r="A38" s="44"/>
      <c r="B38" s="44"/>
      <c r="C38" s="44"/>
      <c r="D38" s="44"/>
      <c r="E38" s="44"/>
      <c r="F38" s="44"/>
      <c r="G38" s="44"/>
    </row>
    <row r="39" spans="1:7" x14ac:dyDescent="0.2">
      <c r="A39" s="43"/>
      <c r="B39" s="43"/>
      <c r="C39" s="43"/>
      <c r="D39" s="43"/>
      <c r="E39" s="43"/>
      <c r="F39" s="43"/>
      <c r="G39" s="43"/>
    </row>
    <row r="40" spans="1:7" x14ac:dyDescent="0.2">
      <c r="A40" s="44"/>
      <c r="B40" s="44"/>
      <c r="C40" s="44"/>
      <c r="D40" s="44"/>
      <c r="E40" s="44"/>
      <c r="F40" s="44"/>
      <c r="G40" s="44"/>
    </row>
    <row r="41" spans="1:7" x14ac:dyDescent="0.2">
      <c r="A41" s="43"/>
      <c r="B41" s="43"/>
      <c r="C41" s="43"/>
      <c r="D41" s="43"/>
      <c r="E41" s="43"/>
      <c r="F41" s="43"/>
      <c r="G41" s="43"/>
    </row>
    <row r="42" spans="1:7" x14ac:dyDescent="0.2">
      <c r="A42" s="44"/>
      <c r="B42" s="44"/>
      <c r="C42" s="44"/>
      <c r="D42" s="44"/>
      <c r="E42" s="44"/>
      <c r="F42" s="44"/>
      <c r="G42" s="44"/>
    </row>
    <row r="43" spans="1:7" x14ac:dyDescent="0.2">
      <c r="A43" s="43"/>
      <c r="B43" s="43"/>
      <c r="C43" s="43"/>
      <c r="D43" s="43"/>
      <c r="E43" s="43"/>
      <c r="F43" s="43"/>
      <c r="G43" s="43"/>
    </row>
    <row r="44" spans="1:7" x14ac:dyDescent="0.2">
      <c r="A44" s="44"/>
      <c r="B44" s="44"/>
      <c r="C44" s="44"/>
      <c r="D44" s="44"/>
      <c r="E44" s="44"/>
      <c r="F44" s="44"/>
      <c r="G44" s="44"/>
    </row>
    <row r="45" spans="1:7" x14ac:dyDescent="0.2">
      <c r="A45" s="43"/>
      <c r="B45" s="43"/>
      <c r="C45" s="43"/>
      <c r="D45" s="43"/>
      <c r="E45" s="43"/>
      <c r="F45" s="43"/>
      <c r="G45" s="43"/>
    </row>
    <row r="46" spans="1:7" x14ac:dyDescent="0.2">
      <c r="A46" s="44"/>
      <c r="B46" s="44"/>
      <c r="C46" s="44"/>
      <c r="D46" s="44"/>
      <c r="E46" s="44"/>
      <c r="F46" s="44"/>
      <c r="G46" s="44"/>
    </row>
    <row r="47" spans="1:7" x14ac:dyDescent="0.2">
      <c r="A47" s="43"/>
      <c r="B47" s="43"/>
      <c r="C47" s="43"/>
      <c r="D47" s="43"/>
      <c r="E47" s="43"/>
      <c r="F47" s="43"/>
      <c r="G47" s="43"/>
    </row>
    <row r="48" spans="1:7" x14ac:dyDescent="0.2">
      <c r="A48" s="44"/>
      <c r="B48" s="44"/>
      <c r="C48" s="44"/>
      <c r="D48" s="44"/>
      <c r="E48" s="44"/>
      <c r="F48" s="44"/>
      <c r="G48" s="44"/>
    </row>
    <row r="49" spans="1:7" x14ac:dyDescent="0.2">
      <c r="A49" s="43"/>
      <c r="B49" s="43"/>
      <c r="C49" s="43"/>
      <c r="D49" s="43"/>
      <c r="E49" s="43"/>
      <c r="F49" s="43"/>
      <c r="G49" s="43"/>
    </row>
    <row r="50" spans="1:7" x14ac:dyDescent="0.2">
      <c r="A50" s="44"/>
      <c r="B50" s="44"/>
      <c r="C50" s="44"/>
      <c r="D50" s="44"/>
      <c r="E50" s="44"/>
      <c r="F50" s="44"/>
      <c r="G50" s="44"/>
    </row>
    <row r="51" spans="1:7" x14ac:dyDescent="0.2">
      <c r="A51" s="43"/>
      <c r="B51" s="43"/>
      <c r="C51" s="43"/>
      <c r="D51" s="43"/>
      <c r="E51" s="43"/>
      <c r="F51" s="43"/>
      <c r="G51" s="43"/>
    </row>
    <row r="52" spans="1:7" x14ac:dyDescent="0.2">
      <c r="A52" s="44"/>
      <c r="B52" s="44"/>
      <c r="C52" s="44"/>
      <c r="D52" s="44"/>
      <c r="E52" s="44"/>
      <c r="F52" s="44"/>
      <c r="G52" s="44"/>
    </row>
    <row r="53" spans="1:7" x14ac:dyDescent="0.2">
      <c r="A53" s="43"/>
      <c r="B53" s="43"/>
      <c r="C53" s="43"/>
      <c r="D53" s="43"/>
      <c r="E53" s="43"/>
      <c r="F53" s="43"/>
      <c r="G53" s="43"/>
    </row>
    <row r="54" spans="1:7" x14ac:dyDescent="0.2">
      <c r="A54" s="44"/>
      <c r="B54" s="44"/>
      <c r="C54" s="44"/>
      <c r="D54" s="44"/>
      <c r="E54" s="44"/>
      <c r="F54" s="44"/>
      <c r="G54" s="44"/>
    </row>
    <row r="55" spans="1:7" x14ac:dyDescent="0.2">
      <c r="A55" s="43"/>
      <c r="B55" s="43"/>
      <c r="C55" s="43"/>
      <c r="D55" s="43"/>
      <c r="E55" s="43"/>
      <c r="F55" s="43"/>
      <c r="G55" s="43"/>
    </row>
    <row r="56" spans="1:7" x14ac:dyDescent="0.2">
      <c r="A56" s="44"/>
      <c r="B56" s="44"/>
      <c r="C56" s="44"/>
      <c r="D56" s="44"/>
      <c r="E56" s="44"/>
      <c r="F56" s="44"/>
      <c r="G56" s="44"/>
    </row>
    <row r="57" spans="1:7" x14ac:dyDescent="0.2">
      <c r="A57" s="43"/>
      <c r="B57" s="43"/>
      <c r="C57" s="43"/>
      <c r="D57" s="43"/>
      <c r="E57" s="43"/>
      <c r="F57" s="43"/>
      <c r="G57" s="43"/>
    </row>
    <row r="58" spans="1:7" x14ac:dyDescent="0.2">
      <c r="A58" s="44"/>
      <c r="B58" s="44"/>
      <c r="C58" s="44"/>
      <c r="D58" s="44"/>
      <c r="E58" s="44"/>
      <c r="F58" s="44"/>
      <c r="G58" s="44"/>
    </row>
    <row r="59" spans="1:7" x14ac:dyDescent="0.2">
      <c r="A59" s="43"/>
      <c r="B59" s="43"/>
      <c r="C59" s="43"/>
      <c r="D59" s="43"/>
      <c r="E59" s="43"/>
      <c r="F59" s="43"/>
      <c r="G59" s="43"/>
    </row>
    <row r="60" spans="1:7" x14ac:dyDescent="0.2">
      <c r="A60" s="44"/>
      <c r="B60" s="44"/>
      <c r="C60" s="44"/>
      <c r="D60" s="44"/>
      <c r="E60" s="44"/>
      <c r="F60" s="44"/>
      <c r="G60" s="44"/>
    </row>
    <row r="61" spans="1:7" x14ac:dyDescent="0.2">
      <c r="A61" s="43"/>
      <c r="B61" s="43"/>
      <c r="C61" s="43"/>
      <c r="D61" s="43"/>
      <c r="E61" s="43"/>
      <c r="F61" s="43"/>
      <c r="G61" s="43"/>
    </row>
    <row r="62" spans="1:7" x14ac:dyDescent="0.2">
      <c r="A62" s="44"/>
      <c r="B62" s="44"/>
      <c r="C62" s="44"/>
      <c r="D62" s="44"/>
      <c r="E62" s="44"/>
      <c r="F62" s="44"/>
      <c r="G62" s="44"/>
    </row>
    <row r="63" spans="1:7" x14ac:dyDescent="0.2">
      <c r="A63" s="43"/>
      <c r="B63" s="43"/>
      <c r="C63" s="43"/>
      <c r="D63" s="43"/>
      <c r="E63" s="43"/>
      <c r="F63" s="43"/>
      <c r="G63" s="43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3"/>
      <c r="B65" s="43"/>
      <c r="C65" s="43"/>
      <c r="D65" s="43"/>
      <c r="E65" s="43"/>
      <c r="F65" s="43"/>
      <c r="G65" s="43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3"/>
      <c r="B67" s="43"/>
      <c r="C67" s="43"/>
      <c r="D67" s="43"/>
      <c r="E67" s="43"/>
      <c r="F67" s="43"/>
      <c r="G67" s="43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3"/>
      <c r="B69" s="43"/>
      <c r="C69" s="43"/>
      <c r="D69" s="43"/>
      <c r="E69" s="43"/>
      <c r="F69" s="43"/>
      <c r="G69" s="43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3"/>
      <c r="B71" s="43"/>
      <c r="C71" s="43"/>
      <c r="D71" s="43"/>
      <c r="E71" s="43"/>
      <c r="F71" s="43"/>
      <c r="G71" s="43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3"/>
      <c r="B73" s="43"/>
      <c r="C73" s="43"/>
      <c r="D73" s="43"/>
      <c r="E73" s="43"/>
      <c r="F73" s="43"/>
      <c r="G73" s="43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3"/>
      <c r="B75" s="43"/>
      <c r="C75" s="43"/>
      <c r="D75" s="43"/>
      <c r="E75" s="43"/>
      <c r="F75" s="43"/>
      <c r="G75" s="43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3"/>
      <c r="B77" s="43"/>
      <c r="C77" s="43"/>
      <c r="D77" s="43"/>
      <c r="E77" s="43"/>
      <c r="F77" s="43"/>
      <c r="G77" s="43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3"/>
      <c r="B79" s="43"/>
      <c r="C79" s="43"/>
      <c r="D79" s="43"/>
      <c r="E79" s="43"/>
      <c r="F79" s="43"/>
      <c r="G79" s="43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3"/>
      <c r="B81" s="43"/>
      <c r="C81" s="43"/>
      <c r="D81" s="43"/>
      <c r="E81" s="43"/>
      <c r="F81" s="43"/>
      <c r="G81" s="43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3"/>
      <c r="B83" s="43"/>
      <c r="C83" s="43"/>
      <c r="D83" s="43"/>
      <c r="E83" s="43"/>
      <c r="F83" s="43"/>
      <c r="G83" s="43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3"/>
      <c r="B85" s="43"/>
      <c r="C85" s="43"/>
      <c r="D85" s="43"/>
      <c r="E85" s="43"/>
      <c r="F85" s="43"/>
      <c r="G85" s="43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3"/>
      <c r="B87" s="43"/>
      <c r="C87" s="43"/>
      <c r="D87" s="43"/>
      <c r="E87" s="43"/>
      <c r="F87" s="43"/>
      <c r="G87" s="43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3"/>
      <c r="B89" s="43"/>
      <c r="C89" s="43"/>
      <c r="D89" s="43"/>
      <c r="E89" s="43"/>
      <c r="F89" s="43"/>
      <c r="G89" s="43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3"/>
      <c r="B91" s="43"/>
      <c r="C91" s="43"/>
      <c r="D91" s="43"/>
      <c r="E91" s="43"/>
      <c r="F91" s="43"/>
      <c r="G91" s="43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3"/>
      <c r="B93" s="43"/>
      <c r="C93" s="43"/>
      <c r="D93" s="43"/>
      <c r="E93" s="43"/>
      <c r="F93" s="43"/>
      <c r="G93" s="43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3"/>
      <c r="B95" s="43"/>
      <c r="C95" s="43"/>
      <c r="D95" s="43"/>
      <c r="E95" s="43"/>
      <c r="F95" s="43"/>
      <c r="G95" s="43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3"/>
      <c r="B97" s="43"/>
      <c r="C97" s="43"/>
      <c r="D97" s="43"/>
      <c r="E97" s="43"/>
      <c r="F97" s="43"/>
      <c r="G97" s="43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3"/>
      <c r="B99" s="43"/>
      <c r="C99" s="43"/>
      <c r="D99" s="43"/>
      <c r="E99" s="43"/>
      <c r="F99" s="43"/>
      <c r="G99" s="43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3"/>
      <c r="B101" s="43"/>
      <c r="C101" s="43"/>
      <c r="D101" s="43"/>
      <c r="E101" s="43"/>
      <c r="F101" s="43"/>
      <c r="G101" s="43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3"/>
      <c r="B103" s="43"/>
      <c r="C103" s="43"/>
      <c r="D103" s="43"/>
      <c r="E103" s="43"/>
      <c r="F103" s="43"/>
      <c r="G103" s="43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3"/>
      <c r="B105" s="43"/>
      <c r="C105" s="43"/>
      <c r="D105" s="43"/>
      <c r="E105" s="43"/>
      <c r="F105" s="43"/>
      <c r="G105" s="43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3"/>
      <c r="B107" s="43"/>
      <c r="C107" s="43"/>
      <c r="D107" s="43"/>
      <c r="E107" s="43"/>
      <c r="F107" s="43"/>
      <c r="G107" s="43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3"/>
      <c r="B109" s="43"/>
      <c r="C109" s="43"/>
      <c r="D109" s="43"/>
      <c r="E109" s="43"/>
      <c r="F109" s="43"/>
      <c r="G109" s="43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3"/>
      <c r="B111" s="43"/>
      <c r="C111" s="43"/>
      <c r="D111" s="43"/>
      <c r="E111" s="43"/>
      <c r="F111" s="43"/>
      <c r="G111" s="43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3"/>
      <c r="B113" s="43"/>
      <c r="C113" s="43"/>
      <c r="D113" s="43"/>
      <c r="E113" s="43"/>
      <c r="F113" s="43"/>
      <c r="G113" s="43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3"/>
      <c r="B115" s="43"/>
      <c r="C115" s="43"/>
      <c r="D115" s="43"/>
      <c r="E115" s="43"/>
      <c r="F115" s="43"/>
      <c r="G115" s="43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3"/>
      <c r="B117" s="43"/>
      <c r="C117" s="43"/>
      <c r="D117" s="43"/>
      <c r="E117" s="43"/>
      <c r="F117" s="43"/>
      <c r="G117" s="43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3"/>
      <c r="B119" s="43"/>
      <c r="C119" s="43"/>
      <c r="D119" s="43"/>
      <c r="E119" s="43"/>
      <c r="F119" s="43"/>
      <c r="G119" s="43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3"/>
      <c r="B121" s="43"/>
      <c r="C121" s="43"/>
      <c r="D121" s="43"/>
      <c r="E121" s="43"/>
      <c r="F121" s="43"/>
      <c r="G121" s="43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3"/>
      <c r="B123" s="43"/>
      <c r="C123" s="43"/>
      <c r="D123" s="43"/>
      <c r="E123" s="43"/>
      <c r="F123" s="43"/>
      <c r="G123" s="43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3"/>
      <c r="B125" s="43"/>
      <c r="C125" s="43"/>
      <c r="D125" s="43"/>
      <c r="E125" s="43"/>
      <c r="F125" s="43"/>
      <c r="G125" s="43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3"/>
      <c r="B127" s="43"/>
      <c r="C127" s="43"/>
      <c r="D127" s="43"/>
      <c r="E127" s="43"/>
      <c r="F127" s="43"/>
      <c r="G127" s="43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3"/>
      <c r="B999" s="43"/>
      <c r="C999" s="43"/>
      <c r="D999" s="43"/>
      <c r="E999" s="43"/>
      <c r="F999" s="43"/>
      <c r="G999" s="43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3"/>
      <c r="B1001" s="43"/>
      <c r="C1001" s="43"/>
      <c r="D1001" s="43"/>
      <c r="E1001" s="43"/>
      <c r="F1001" s="43"/>
      <c r="G1001" s="43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3"/>
      <c r="B1003" s="43"/>
      <c r="C1003" s="43"/>
      <c r="D1003" s="43"/>
      <c r="E1003" s="43"/>
      <c r="F1003" s="43"/>
      <c r="G1003" s="43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3"/>
      <c r="B1005" s="43"/>
      <c r="C1005" s="43"/>
      <c r="D1005" s="43"/>
      <c r="E1005" s="43"/>
      <c r="F1005" s="43"/>
      <c r="G1005" s="43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3"/>
      <c r="B1007" s="43"/>
      <c r="C1007" s="43"/>
      <c r="D1007" s="43"/>
      <c r="E1007" s="43"/>
      <c r="F1007" s="43"/>
      <c r="G1007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X1008"/>
  <sheetViews>
    <sheetView workbookViewId="0">
      <selection activeCell="A15" sqref="A15"/>
    </sheetView>
  </sheetViews>
  <sheetFormatPr baseColWidth="10" defaultColWidth="9" defaultRowHeight="15" x14ac:dyDescent="0.2"/>
  <cols>
    <col min="1" max="1" width="12" style="41" bestFit="1" customWidth="1"/>
    <col min="2" max="16384" width="9" style="41"/>
  </cols>
  <sheetData>
    <row r="1" spans="1:24" x14ac:dyDescent="0.2">
      <c r="A1" s="40" t="s">
        <v>103</v>
      </c>
      <c r="B1" s="40" t="s">
        <v>213</v>
      </c>
      <c r="G1" s="42" t="s">
        <v>109</v>
      </c>
    </row>
    <row r="3" spans="1:24" x14ac:dyDescent="0.2">
      <c r="A3" s="42" t="s">
        <v>104</v>
      </c>
    </row>
    <row r="4" spans="1:24" x14ac:dyDescent="0.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24" x14ac:dyDescent="0.2">
      <c r="A5" s="42" t="s">
        <v>105</v>
      </c>
    </row>
    <row r="6" spans="1:24" x14ac:dyDescent="0.2">
      <c r="A6" s="45" t="s">
        <v>106</v>
      </c>
      <c r="B6" s="44"/>
      <c r="C6" s="44" t="s">
        <v>107</v>
      </c>
      <c r="D6" s="44"/>
      <c r="E6" s="44"/>
      <c r="F6" s="44"/>
      <c r="G6" s="44"/>
      <c r="H6" s="44"/>
      <c r="I6" s="44"/>
      <c r="J6" s="44"/>
      <c r="K6" s="44"/>
      <c r="L6" s="44"/>
    </row>
    <row r="8" spans="1:24" x14ac:dyDescent="0.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213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24" x14ac:dyDescent="0.2">
      <c r="A9" s="44">
        <v>2016</v>
      </c>
      <c r="B9" s="44" t="s">
        <v>228</v>
      </c>
      <c r="C9" s="44" t="s">
        <v>44</v>
      </c>
      <c r="D9" s="44" t="s">
        <v>214</v>
      </c>
      <c r="E9" s="44">
        <v>1.4E-3</v>
      </c>
      <c r="F9" s="44"/>
      <c r="G9" s="44">
        <v>1592.9985002790099</v>
      </c>
    </row>
    <row r="10" spans="1:24" x14ac:dyDescent="0.2">
      <c r="A10" s="43">
        <v>2016</v>
      </c>
      <c r="B10" s="43" t="s">
        <v>228</v>
      </c>
      <c r="C10" s="43" t="s">
        <v>44</v>
      </c>
      <c r="D10" s="43" t="s">
        <v>215</v>
      </c>
      <c r="E10" s="43">
        <v>4.7999999999999996E-3</v>
      </c>
      <c r="F10" s="43"/>
      <c r="G10" s="43">
        <v>744.45542399088504</v>
      </c>
      <c r="X10" s="49"/>
    </row>
    <row r="11" spans="1:24" x14ac:dyDescent="0.2">
      <c r="A11" s="44">
        <v>2016</v>
      </c>
      <c r="B11" s="44" t="s">
        <v>228</v>
      </c>
      <c r="C11" s="44" t="s">
        <v>44</v>
      </c>
      <c r="D11" s="44" t="s">
        <v>216</v>
      </c>
      <c r="E11" s="44">
        <v>3.8E-3</v>
      </c>
      <c r="F11" s="44"/>
      <c r="G11" s="44">
        <v>748.763689543071</v>
      </c>
    </row>
    <row r="12" spans="1:24" x14ac:dyDescent="0.2">
      <c r="A12" s="43">
        <v>2016</v>
      </c>
      <c r="B12" s="43" t="s">
        <v>228</v>
      </c>
      <c r="C12" s="43" t="s">
        <v>43</v>
      </c>
      <c r="D12" s="43" t="s">
        <v>214</v>
      </c>
      <c r="E12" s="43">
        <v>5.3E-3</v>
      </c>
      <c r="F12" s="43"/>
      <c r="G12" s="43">
        <v>1461.90041365713</v>
      </c>
    </row>
    <row r="13" spans="1:24" x14ac:dyDescent="0.2">
      <c r="A13" s="44">
        <v>2016</v>
      </c>
      <c r="B13" s="44" t="s">
        <v>228</v>
      </c>
      <c r="C13" s="44" t="s">
        <v>43</v>
      </c>
      <c r="D13" s="44" t="s">
        <v>215</v>
      </c>
      <c r="E13" s="44">
        <v>1.11E-2</v>
      </c>
      <c r="F13" s="44"/>
      <c r="G13" s="44">
        <v>947.51932010135101</v>
      </c>
    </row>
    <row r="14" spans="1:24" x14ac:dyDescent="0.2">
      <c r="A14" s="43">
        <v>2016</v>
      </c>
      <c r="B14" s="43" t="s">
        <v>228</v>
      </c>
      <c r="C14" s="43" t="s">
        <v>43</v>
      </c>
      <c r="D14" s="43" t="s">
        <v>216</v>
      </c>
      <c r="E14" s="43">
        <v>4.1999999999999997E-3</v>
      </c>
      <c r="F14" s="43"/>
      <c r="G14" s="43">
        <v>848.678402855282</v>
      </c>
    </row>
    <row r="15" spans="1:24" x14ac:dyDescent="0.2">
      <c r="A15" s="44"/>
      <c r="B15" s="44"/>
      <c r="C15" s="44"/>
      <c r="D15" s="44"/>
      <c r="E15" s="44"/>
      <c r="F15" s="44"/>
      <c r="G15" s="44"/>
    </row>
    <row r="16" spans="1:24" x14ac:dyDescent="0.2">
      <c r="A16" s="43"/>
      <c r="B16" s="43"/>
      <c r="C16" s="43"/>
      <c r="D16" s="43"/>
      <c r="E16" s="43"/>
      <c r="F16" s="43"/>
      <c r="G16" s="43"/>
    </row>
    <row r="17" spans="1:21" x14ac:dyDescent="0.2">
      <c r="A17" s="44"/>
      <c r="B17" s="44"/>
      <c r="C17" s="44"/>
      <c r="D17" s="44"/>
      <c r="E17" s="44"/>
      <c r="F17" s="44"/>
      <c r="G17" s="44"/>
      <c r="R17" s="41" t="s">
        <v>177</v>
      </c>
      <c r="U17" s="41" t="s">
        <v>177</v>
      </c>
    </row>
    <row r="18" spans="1:21" x14ac:dyDescent="0.2">
      <c r="A18" s="43"/>
      <c r="B18" s="43"/>
      <c r="C18" s="43"/>
      <c r="D18" s="43"/>
      <c r="E18" s="43"/>
      <c r="F18" s="43"/>
      <c r="G18" s="43"/>
    </row>
    <row r="19" spans="1:21" x14ac:dyDescent="0.2">
      <c r="A19" s="44"/>
      <c r="B19" s="44"/>
      <c r="C19" s="44"/>
      <c r="D19" s="44"/>
      <c r="E19" s="44"/>
      <c r="F19" s="44"/>
      <c r="G19" s="44"/>
    </row>
    <row r="20" spans="1:21" x14ac:dyDescent="0.2">
      <c r="A20" s="43"/>
      <c r="B20" s="43"/>
      <c r="C20" s="43"/>
      <c r="D20" s="43"/>
      <c r="E20" s="43"/>
      <c r="F20" s="43"/>
      <c r="G20" s="43"/>
    </row>
    <row r="21" spans="1:21" x14ac:dyDescent="0.2">
      <c r="A21" s="44"/>
      <c r="B21" s="44"/>
      <c r="C21" s="44"/>
      <c r="D21" s="44"/>
      <c r="E21" s="44"/>
      <c r="F21" s="44"/>
      <c r="G21" s="44"/>
      <c r="R21" s="49"/>
      <c r="S21" s="49"/>
    </row>
    <row r="22" spans="1:21" x14ac:dyDescent="0.2">
      <c r="A22" s="43"/>
      <c r="B22" s="43"/>
      <c r="C22" s="43"/>
      <c r="D22" s="43"/>
      <c r="E22" s="43"/>
      <c r="F22" s="43"/>
      <c r="G22" s="43"/>
    </row>
    <row r="23" spans="1:21" x14ac:dyDescent="0.2">
      <c r="A23" s="44"/>
      <c r="B23" s="44"/>
      <c r="C23" s="44"/>
      <c r="D23" s="44"/>
      <c r="E23" s="44"/>
      <c r="F23" s="44"/>
      <c r="G23" s="44"/>
    </row>
    <row r="24" spans="1:21" x14ac:dyDescent="0.2">
      <c r="A24" s="43"/>
      <c r="B24" s="43"/>
      <c r="C24" s="43"/>
      <c r="D24" s="43"/>
      <c r="E24" s="43"/>
      <c r="F24" s="43"/>
      <c r="G24" s="43"/>
    </row>
    <row r="25" spans="1:21" x14ac:dyDescent="0.2">
      <c r="A25" s="44"/>
      <c r="B25" s="44"/>
      <c r="C25" s="44"/>
      <c r="D25" s="44"/>
      <c r="E25" s="44"/>
      <c r="F25" s="44"/>
      <c r="G25" s="44"/>
    </row>
    <row r="26" spans="1:21" x14ac:dyDescent="0.2">
      <c r="A26" s="43"/>
      <c r="B26" s="43"/>
      <c r="C26" s="43"/>
      <c r="D26" s="43"/>
      <c r="E26" s="43"/>
      <c r="F26" s="43"/>
      <c r="G26" s="43"/>
    </row>
    <row r="27" spans="1:21" x14ac:dyDescent="0.2">
      <c r="A27" s="44"/>
      <c r="B27" s="44"/>
      <c r="C27" s="44"/>
      <c r="D27" s="44"/>
      <c r="E27" s="44"/>
      <c r="F27" s="44"/>
      <c r="G27" s="44"/>
    </row>
    <row r="28" spans="1:21" x14ac:dyDescent="0.2">
      <c r="A28" s="43"/>
      <c r="B28" s="43"/>
      <c r="C28" s="43"/>
      <c r="D28" s="43"/>
      <c r="E28" s="43"/>
      <c r="F28" s="43"/>
      <c r="G28" s="43"/>
    </row>
    <row r="29" spans="1:21" x14ac:dyDescent="0.2">
      <c r="A29" s="44"/>
      <c r="B29" s="44"/>
      <c r="C29" s="44"/>
      <c r="D29" s="44"/>
      <c r="E29" s="44"/>
      <c r="F29" s="44"/>
      <c r="G29" s="44"/>
    </row>
    <row r="30" spans="1:21" x14ac:dyDescent="0.2">
      <c r="A30" s="43"/>
      <c r="B30" s="43"/>
      <c r="C30" s="43"/>
      <c r="D30" s="43"/>
      <c r="E30" s="43"/>
      <c r="F30" s="43"/>
      <c r="G30" s="43"/>
    </row>
    <row r="31" spans="1:21" x14ac:dyDescent="0.2">
      <c r="A31" s="44"/>
      <c r="B31" s="44"/>
      <c r="C31" s="44"/>
      <c r="D31" s="44"/>
      <c r="E31" s="44"/>
      <c r="F31" s="44"/>
      <c r="G31" s="44"/>
    </row>
    <row r="32" spans="1:21" x14ac:dyDescent="0.2">
      <c r="A32" s="43"/>
      <c r="B32" s="43"/>
      <c r="C32" s="43"/>
      <c r="D32" s="43"/>
      <c r="E32" s="43"/>
      <c r="F32" s="43"/>
      <c r="G32" s="43"/>
    </row>
    <row r="33" spans="1:7" x14ac:dyDescent="0.2">
      <c r="A33" s="44"/>
      <c r="B33" s="44"/>
      <c r="C33" s="44"/>
      <c r="D33" s="44"/>
      <c r="E33" s="44"/>
      <c r="F33" s="44"/>
      <c r="G33" s="44"/>
    </row>
    <row r="34" spans="1:7" x14ac:dyDescent="0.2">
      <c r="A34" s="43"/>
      <c r="B34" s="43"/>
      <c r="C34" s="43"/>
      <c r="D34" s="43"/>
      <c r="E34" s="43"/>
      <c r="F34" s="43"/>
      <c r="G34" s="43"/>
    </row>
    <row r="35" spans="1:7" x14ac:dyDescent="0.2">
      <c r="A35" s="44"/>
      <c r="B35" s="44"/>
      <c r="C35" s="44"/>
      <c r="D35" s="44"/>
      <c r="E35" s="44"/>
      <c r="F35" s="44"/>
      <c r="G35" s="44"/>
    </row>
    <row r="36" spans="1:7" x14ac:dyDescent="0.2">
      <c r="A36" s="43"/>
      <c r="B36" s="43"/>
      <c r="C36" s="43"/>
      <c r="D36" s="43"/>
      <c r="E36" s="43"/>
      <c r="F36" s="43"/>
      <c r="G36" s="43"/>
    </row>
    <row r="37" spans="1:7" x14ac:dyDescent="0.2">
      <c r="A37" s="44"/>
      <c r="B37" s="44"/>
      <c r="C37" s="44"/>
      <c r="D37" s="44"/>
      <c r="E37" s="44"/>
      <c r="F37" s="44"/>
      <c r="G37" s="44"/>
    </row>
    <row r="38" spans="1:7" x14ac:dyDescent="0.2">
      <c r="A38" s="43"/>
      <c r="B38" s="43"/>
      <c r="C38" s="43"/>
      <c r="D38" s="43"/>
      <c r="E38" s="43"/>
      <c r="F38" s="43"/>
      <c r="G38" s="43"/>
    </row>
    <row r="39" spans="1:7" x14ac:dyDescent="0.2">
      <c r="A39" s="44"/>
      <c r="B39" s="44"/>
      <c r="C39" s="44"/>
      <c r="D39" s="44"/>
      <c r="E39" s="44"/>
      <c r="F39" s="44"/>
      <c r="G39" s="44"/>
    </row>
    <row r="40" spans="1:7" x14ac:dyDescent="0.2">
      <c r="A40" s="43"/>
      <c r="B40" s="43"/>
      <c r="C40" s="43"/>
      <c r="D40" s="43"/>
      <c r="E40" s="43"/>
      <c r="F40" s="43"/>
      <c r="G40" s="43"/>
    </row>
    <row r="41" spans="1:7" x14ac:dyDescent="0.2">
      <c r="A41" s="44"/>
      <c r="B41" s="44"/>
      <c r="C41" s="44"/>
      <c r="D41" s="44"/>
      <c r="E41" s="44"/>
      <c r="F41" s="44"/>
      <c r="G41" s="44"/>
    </row>
    <row r="42" spans="1:7" x14ac:dyDescent="0.2">
      <c r="A42" s="43"/>
      <c r="B42" s="43"/>
      <c r="C42" s="43"/>
      <c r="D42" s="43"/>
      <c r="E42" s="43"/>
      <c r="F42" s="43"/>
      <c r="G42" s="43"/>
    </row>
    <row r="43" spans="1:7" x14ac:dyDescent="0.2">
      <c r="A43" s="44"/>
      <c r="B43" s="44"/>
      <c r="C43" s="44"/>
      <c r="D43" s="44"/>
      <c r="E43" s="44"/>
      <c r="F43" s="44"/>
      <c r="G43" s="44"/>
    </row>
    <row r="44" spans="1:7" x14ac:dyDescent="0.2">
      <c r="A44" s="43"/>
      <c r="B44" s="43"/>
      <c r="C44" s="43"/>
      <c r="D44" s="43"/>
      <c r="E44" s="43"/>
      <c r="F44" s="43"/>
      <c r="G44" s="43"/>
    </row>
    <row r="45" spans="1:7" x14ac:dyDescent="0.2">
      <c r="A45" s="44"/>
      <c r="B45" s="44"/>
      <c r="C45" s="44"/>
      <c r="D45" s="44"/>
      <c r="E45" s="44"/>
      <c r="F45" s="44"/>
      <c r="G45" s="44"/>
    </row>
    <row r="46" spans="1:7" x14ac:dyDescent="0.2">
      <c r="A46" s="43"/>
      <c r="B46" s="43"/>
      <c r="C46" s="43"/>
      <c r="D46" s="43"/>
      <c r="E46" s="43"/>
      <c r="F46" s="43"/>
      <c r="G46" s="43"/>
    </row>
    <row r="47" spans="1:7" x14ac:dyDescent="0.2">
      <c r="A47" s="44"/>
      <c r="B47" s="44"/>
      <c r="C47" s="44"/>
      <c r="D47" s="44"/>
      <c r="E47" s="44"/>
      <c r="F47" s="44"/>
      <c r="G47" s="44"/>
    </row>
    <row r="48" spans="1:7" x14ac:dyDescent="0.2">
      <c r="A48" s="43"/>
      <c r="B48" s="43"/>
      <c r="C48" s="43"/>
      <c r="D48" s="43"/>
      <c r="E48" s="43"/>
      <c r="F48" s="43"/>
      <c r="G48" s="43"/>
    </row>
    <row r="49" spans="1:7" x14ac:dyDescent="0.2">
      <c r="A49" s="44"/>
      <c r="B49" s="44"/>
      <c r="C49" s="44"/>
      <c r="D49" s="44"/>
      <c r="E49" s="44"/>
      <c r="F49" s="44"/>
      <c r="G49" s="44"/>
    </row>
    <row r="50" spans="1:7" x14ac:dyDescent="0.2">
      <c r="A50" s="43"/>
      <c r="B50" s="43"/>
      <c r="C50" s="43"/>
      <c r="D50" s="43"/>
      <c r="E50" s="43"/>
      <c r="F50" s="43"/>
      <c r="G50" s="43"/>
    </row>
    <row r="51" spans="1:7" x14ac:dyDescent="0.2">
      <c r="A51" s="44"/>
      <c r="B51" s="44"/>
      <c r="C51" s="44"/>
      <c r="D51" s="44"/>
      <c r="E51" s="44"/>
      <c r="F51" s="44"/>
      <c r="G51" s="44"/>
    </row>
    <row r="52" spans="1:7" x14ac:dyDescent="0.2">
      <c r="A52" s="43"/>
      <c r="B52" s="43"/>
      <c r="C52" s="43"/>
      <c r="D52" s="43"/>
      <c r="E52" s="43"/>
      <c r="F52" s="43"/>
      <c r="G52" s="43"/>
    </row>
    <row r="53" spans="1:7" x14ac:dyDescent="0.2">
      <c r="A53" s="44"/>
      <c r="B53" s="44"/>
      <c r="C53" s="44"/>
      <c r="D53" s="44"/>
      <c r="E53" s="44"/>
      <c r="F53" s="44"/>
      <c r="G53" s="44"/>
    </row>
    <row r="54" spans="1:7" x14ac:dyDescent="0.2">
      <c r="A54" s="43"/>
      <c r="B54" s="43"/>
      <c r="C54" s="43"/>
      <c r="D54" s="43"/>
      <c r="E54" s="43"/>
      <c r="F54" s="43"/>
      <c r="G54" s="43"/>
    </row>
    <row r="55" spans="1:7" x14ac:dyDescent="0.2">
      <c r="A55" s="44"/>
      <c r="B55" s="44"/>
      <c r="C55" s="44"/>
      <c r="D55" s="44"/>
      <c r="E55" s="44"/>
      <c r="F55" s="44"/>
      <c r="G55" s="44"/>
    </row>
    <row r="56" spans="1:7" x14ac:dyDescent="0.2">
      <c r="A56" s="43"/>
      <c r="B56" s="43"/>
      <c r="C56" s="43"/>
      <c r="D56" s="43"/>
      <c r="E56" s="43"/>
      <c r="F56" s="43"/>
      <c r="G56" s="43"/>
    </row>
    <row r="57" spans="1:7" x14ac:dyDescent="0.2">
      <c r="A57" s="44"/>
      <c r="B57" s="44"/>
      <c r="C57" s="44"/>
      <c r="D57" s="44"/>
      <c r="E57" s="44"/>
      <c r="F57" s="44"/>
      <c r="G57" s="44"/>
    </row>
    <row r="58" spans="1:7" x14ac:dyDescent="0.2">
      <c r="A58" s="43"/>
      <c r="B58" s="43"/>
      <c r="C58" s="43"/>
      <c r="D58" s="43"/>
      <c r="E58" s="43"/>
      <c r="F58" s="43"/>
      <c r="G58" s="43"/>
    </row>
    <row r="59" spans="1:7" x14ac:dyDescent="0.2">
      <c r="A59" s="44"/>
      <c r="B59" s="44"/>
      <c r="C59" s="44"/>
      <c r="D59" s="44"/>
      <c r="E59" s="44"/>
      <c r="F59" s="44"/>
      <c r="G59" s="44"/>
    </row>
    <row r="60" spans="1:7" x14ac:dyDescent="0.2">
      <c r="A60" s="43"/>
      <c r="B60" s="43"/>
      <c r="C60" s="43"/>
      <c r="D60" s="43"/>
      <c r="E60" s="43"/>
      <c r="F60" s="43"/>
      <c r="G60" s="43"/>
    </row>
    <row r="61" spans="1:7" x14ac:dyDescent="0.2">
      <c r="A61" s="44"/>
      <c r="B61" s="44"/>
      <c r="C61" s="44"/>
      <c r="D61" s="44"/>
      <c r="E61" s="44"/>
      <c r="F61" s="44"/>
      <c r="G61" s="44"/>
    </row>
    <row r="62" spans="1:7" x14ac:dyDescent="0.2">
      <c r="A62" s="43"/>
      <c r="B62" s="43"/>
      <c r="C62" s="43"/>
      <c r="D62" s="43"/>
      <c r="E62" s="43"/>
      <c r="F62" s="43"/>
      <c r="G62" s="43"/>
    </row>
    <row r="63" spans="1:7" x14ac:dyDescent="0.2">
      <c r="A63" s="44"/>
      <c r="B63" s="44"/>
      <c r="C63" s="44"/>
      <c r="D63" s="44"/>
      <c r="E63" s="44"/>
      <c r="F63" s="44"/>
      <c r="G63" s="44"/>
    </row>
    <row r="64" spans="1:7" x14ac:dyDescent="0.2">
      <c r="A64" s="43"/>
      <c r="B64" s="43"/>
      <c r="C64" s="43"/>
      <c r="D64" s="43"/>
      <c r="E64" s="43"/>
      <c r="F64" s="43"/>
      <c r="G64" s="43"/>
    </row>
    <row r="65" spans="1:7" x14ac:dyDescent="0.2">
      <c r="A65" s="44"/>
      <c r="B65" s="44"/>
      <c r="C65" s="44"/>
      <c r="D65" s="44"/>
      <c r="E65" s="44"/>
      <c r="F65" s="44"/>
      <c r="G65" s="44"/>
    </row>
    <row r="66" spans="1:7" x14ac:dyDescent="0.2">
      <c r="A66" s="43"/>
      <c r="B66" s="43"/>
      <c r="C66" s="43"/>
      <c r="D66" s="43"/>
      <c r="E66" s="43"/>
      <c r="F66" s="43"/>
      <c r="G66" s="43"/>
    </row>
    <row r="67" spans="1:7" x14ac:dyDescent="0.2">
      <c r="A67" s="44"/>
      <c r="B67" s="44"/>
      <c r="C67" s="44"/>
      <c r="D67" s="44"/>
      <c r="E67" s="44"/>
      <c r="F67" s="44"/>
      <c r="G67" s="44"/>
    </row>
    <row r="68" spans="1:7" x14ac:dyDescent="0.2">
      <c r="A68" s="43"/>
      <c r="B68" s="43"/>
      <c r="C68" s="43"/>
      <c r="D68" s="43"/>
      <c r="E68" s="43"/>
      <c r="F68" s="43"/>
      <c r="G68" s="43"/>
    </row>
    <row r="69" spans="1:7" x14ac:dyDescent="0.2">
      <c r="A69" s="44"/>
      <c r="B69" s="44"/>
      <c r="C69" s="44"/>
      <c r="D69" s="44"/>
      <c r="E69" s="44"/>
      <c r="F69" s="44"/>
      <c r="G69" s="44"/>
    </row>
    <row r="70" spans="1:7" x14ac:dyDescent="0.2">
      <c r="A70" s="43"/>
      <c r="B70" s="43"/>
      <c r="C70" s="43"/>
      <c r="D70" s="43"/>
      <c r="E70" s="43"/>
      <c r="F70" s="43"/>
      <c r="G70" s="43"/>
    </row>
    <row r="71" spans="1:7" x14ac:dyDescent="0.2">
      <c r="A71" s="44"/>
      <c r="B71" s="44"/>
      <c r="C71" s="44"/>
      <c r="D71" s="44"/>
      <c r="E71" s="44"/>
      <c r="F71" s="44"/>
      <c r="G71" s="44"/>
    </row>
    <row r="72" spans="1:7" x14ac:dyDescent="0.2">
      <c r="A72" s="43"/>
      <c r="B72" s="43"/>
      <c r="C72" s="43"/>
      <c r="D72" s="43"/>
      <c r="E72" s="43"/>
      <c r="F72" s="43"/>
      <c r="G72" s="43"/>
    </row>
    <row r="73" spans="1:7" x14ac:dyDescent="0.2">
      <c r="A73" s="44"/>
      <c r="B73" s="44"/>
      <c r="C73" s="44"/>
      <c r="D73" s="44"/>
      <c r="E73" s="44"/>
      <c r="F73" s="44"/>
      <c r="G73" s="44"/>
    </row>
    <row r="74" spans="1:7" x14ac:dyDescent="0.2">
      <c r="A74" s="43"/>
      <c r="B74" s="43"/>
      <c r="C74" s="43"/>
      <c r="D74" s="43"/>
      <c r="E74" s="43"/>
      <c r="F74" s="43"/>
      <c r="G74" s="43"/>
    </row>
    <row r="75" spans="1:7" x14ac:dyDescent="0.2">
      <c r="A75" s="44"/>
      <c r="B75" s="44"/>
      <c r="C75" s="44"/>
      <c r="D75" s="44"/>
      <c r="E75" s="44"/>
      <c r="F75" s="44"/>
      <c r="G75" s="44"/>
    </row>
    <row r="76" spans="1:7" x14ac:dyDescent="0.2">
      <c r="A76" s="43"/>
      <c r="B76" s="43"/>
      <c r="C76" s="43"/>
      <c r="D76" s="43"/>
      <c r="E76" s="43"/>
      <c r="F76" s="43"/>
      <c r="G76" s="43"/>
    </row>
    <row r="77" spans="1:7" x14ac:dyDescent="0.2">
      <c r="A77" s="44"/>
      <c r="B77" s="44"/>
      <c r="C77" s="44"/>
      <c r="D77" s="44"/>
      <c r="E77" s="44"/>
      <c r="F77" s="44"/>
      <c r="G77" s="44"/>
    </row>
    <row r="78" spans="1:7" x14ac:dyDescent="0.2">
      <c r="A78" s="43"/>
      <c r="B78" s="43"/>
      <c r="C78" s="43"/>
      <c r="D78" s="43"/>
      <c r="E78" s="43"/>
      <c r="F78" s="43"/>
      <c r="G78" s="43"/>
    </row>
    <row r="79" spans="1:7" x14ac:dyDescent="0.2">
      <c r="A79" s="44"/>
      <c r="B79" s="44"/>
      <c r="C79" s="44"/>
      <c r="D79" s="44"/>
      <c r="E79" s="44"/>
      <c r="F79" s="44"/>
      <c r="G79" s="44"/>
    </row>
    <row r="80" spans="1:7" x14ac:dyDescent="0.2">
      <c r="A80" s="43"/>
      <c r="B80" s="43"/>
      <c r="C80" s="43"/>
      <c r="D80" s="43"/>
      <c r="E80" s="43"/>
      <c r="F80" s="43"/>
      <c r="G80" s="43"/>
    </row>
    <row r="81" spans="1:7" x14ac:dyDescent="0.2">
      <c r="A81" s="44"/>
      <c r="B81" s="44"/>
      <c r="C81" s="44"/>
      <c r="D81" s="44"/>
      <c r="E81" s="44"/>
      <c r="F81" s="44"/>
      <c r="G81" s="44"/>
    </row>
    <row r="82" spans="1:7" x14ac:dyDescent="0.2">
      <c r="A82" s="43"/>
      <c r="B82" s="43"/>
      <c r="C82" s="43"/>
      <c r="D82" s="43"/>
      <c r="E82" s="43"/>
      <c r="F82" s="43"/>
      <c r="G82" s="43"/>
    </row>
    <row r="83" spans="1:7" x14ac:dyDescent="0.2">
      <c r="A83" s="44"/>
      <c r="B83" s="44"/>
      <c r="C83" s="44"/>
      <c r="D83" s="44"/>
      <c r="E83" s="44"/>
      <c r="F83" s="44"/>
      <c r="G83" s="44"/>
    </row>
    <row r="84" spans="1:7" x14ac:dyDescent="0.2">
      <c r="A84" s="43"/>
      <c r="B84" s="43"/>
      <c r="C84" s="43"/>
      <c r="D84" s="43"/>
      <c r="E84" s="43"/>
      <c r="F84" s="43"/>
      <c r="G84" s="43"/>
    </row>
    <row r="85" spans="1:7" x14ac:dyDescent="0.2">
      <c r="A85" s="44"/>
      <c r="B85" s="44"/>
      <c r="C85" s="44"/>
      <c r="D85" s="44"/>
      <c r="E85" s="44"/>
      <c r="F85" s="44"/>
      <c r="G85" s="44"/>
    </row>
    <row r="86" spans="1:7" x14ac:dyDescent="0.2">
      <c r="A86" s="43"/>
      <c r="B86" s="43"/>
      <c r="C86" s="43"/>
      <c r="D86" s="43"/>
      <c r="E86" s="43"/>
      <c r="F86" s="43"/>
      <c r="G86" s="43"/>
    </row>
    <row r="87" spans="1:7" x14ac:dyDescent="0.2">
      <c r="A87" s="44"/>
      <c r="B87" s="44"/>
      <c r="C87" s="44"/>
      <c r="D87" s="44"/>
      <c r="E87" s="44"/>
      <c r="F87" s="44"/>
      <c r="G87" s="44"/>
    </row>
    <row r="88" spans="1:7" x14ac:dyDescent="0.2">
      <c r="A88" s="43"/>
      <c r="B88" s="43"/>
      <c r="C88" s="43"/>
      <c r="D88" s="43"/>
      <c r="E88" s="43"/>
      <c r="F88" s="43"/>
      <c r="G88" s="43"/>
    </row>
    <row r="89" spans="1:7" x14ac:dyDescent="0.2">
      <c r="A89" s="44"/>
      <c r="B89" s="44"/>
      <c r="C89" s="44"/>
      <c r="D89" s="44"/>
      <c r="E89" s="44"/>
      <c r="F89" s="44"/>
      <c r="G89" s="44"/>
    </row>
    <row r="90" spans="1:7" x14ac:dyDescent="0.2">
      <c r="A90" s="43"/>
      <c r="B90" s="43"/>
      <c r="C90" s="43"/>
      <c r="D90" s="43"/>
      <c r="E90" s="43"/>
      <c r="F90" s="43"/>
      <c r="G90" s="43"/>
    </row>
    <row r="91" spans="1:7" x14ac:dyDescent="0.2">
      <c r="A91" s="44"/>
      <c r="B91" s="44"/>
      <c r="C91" s="44"/>
      <c r="D91" s="44"/>
      <c r="E91" s="44"/>
      <c r="F91" s="44"/>
      <c r="G91" s="44"/>
    </row>
    <row r="92" spans="1:7" x14ac:dyDescent="0.2">
      <c r="A92" s="43"/>
      <c r="B92" s="43"/>
      <c r="C92" s="43"/>
      <c r="D92" s="43"/>
      <c r="E92" s="43"/>
      <c r="F92" s="43"/>
      <c r="G92" s="43"/>
    </row>
    <row r="93" spans="1:7" x14ac:dyDescent="0.2">
      <c r="A93" s="44"/>
      <c r="B93" s="44"/>
      <c r="C93" s="44"/>
      <c r="D93" s="44"/>
      <c r="E93" s="44"/>
      <c r="F93" s="44"/>
      <c r="G93" s="44"/>
    </row>
    <row r="94" spans="1:7" x14ac:dyDescent="0.2">
      <c r="A94" s="43"/>
      <c r="B94" s="43"/>
      <c r="C94" s="43"/>
      <c r="D94" s="43"/>
      <c r="E94" s="43"/>
      <c r="F94" s="43"/>
      <c r="G94" s="43"/>
    </row>
    <row r="95" spans="1:7" x14ac:dyDescent="0.2">
      <c r="A95" s="44"/>
      <c r="B95" s="44"/>
      <c r="C95" s="44"/>
      <c r="D95" s="44"/>
      <c r="E95" s="44"/>
      <c r="F95" s="44"/>
      <c r="G95" s="44"/>
    </row>
    <row r="96" spans="1:7" x14ac:dyDescent="0.2">
      <c r="A96" s="43"/>
      <c r="B96" s="43"/>
      <c r="C96" s="43"/>
      <c r="D96" s="43"/>
      <c r="E96" s="43"/>
      <c r="F96" s="43"/>
      <c r="G96" s="43"/>
    </row>
    <row r="97" spans="1:7" x14ac:dyDescent="0.2">
      <c r="A97" s="44"/>
      <c r="B97" s="44"/>
      <c r="C97" s="44"/>
      <c r="D97" s="44"/>
      <c r="E97" s="44"/>
      <c r="F97" s="44"/>
      <c r="G97" s="44"/>
    </row>
    <row r="98" spans="1:7" x14ac:dyDescent="0.2">
      <c r="A98" s="43"/>
      <c r="B98" s="43"/>
      <c r="C98" s="43"/>
      <c r="D98" s="43"/>
      <c r="E98" s="43"/>
      <c r="F98" s="43"/>
      <c r="G98" s="43"/>
    </row>
    <row r="99" spans="1:7" x14ac:dyDescent="0.2">
      <c r="A99" s="44"/>
      <c r="B99" s="44"/>
      <c r="C99" s="44"/>
      <c r="D99" s="44"/>
      <c r="E99" s="44"/>
      <c r="F99" s="44"/>
      <c r="G99" s="44"/>
    </row>
    <row r="100" spans="1:7" x14ac:dyDescent="0.2">
      <c r="A100" s="43"/>
      <c r="B100" s="43"/>
      <c r="C100" s="43"/>
      <c r="D100" s="43"/>
      <c r="E100" s="43"/>
      <c r="F100" s="43"/>
      <c r="G100" s="43"/>
    </row>
    <row r="101" spans="1:7" x14ac:dyDescent="0.2">
      <c r="A101" s="44"/>
      <c r="B101" s="44"/>
      <c r="C101" s="44"/>
      <c r="D101" s="44"/>
      <c r="E101" s="44"/>
      <c r="F101" s="44"/>
      <c r="G101" s="44"/>
    </row>
    <row r="102" spans="1:7" x14ac:dyDescent="0.2">
      <c r="A102" s="43"/>
      <c r="B102" s="43"/>
      <c r="C102" s="43"/>
      <c r="D102" s="43"/>
      <c r="E102" s="43"/>
      <c r="F102" s="43"/>
      <c r="G102" s="43"/>
    </row>
    <row r="103" spans="1:7" x14ac:dyDescent="0.2">
      <c r="A103" s="44"/>
      <c r="B103" s="44"/>
      <c r="C103" s="44"/>
      <c r="D103" s="44"/>
      <c r="E103" s="44"/>
      <c r="F103" s="44"/>
      <c r="G103" s="44"/>
    </row>
    <row r="104" spans="1:7" x14ac:dyDescent="0.2">
      <c r="A104" s="43"/>
      <c r="B104" s="43"/>
      <c r="C104" s="43"/>
      <c r="D104" s="43"/>
      <c r="E104" s="43"/>
      <c r="F104" s="43"/>
      <c r="G104" s="43"/>
    </row>
    <row r="105" spans="1:7" x14ac:dyDescent="0.2">
      <c r="A105" s="44"/>
      <c r="B105" s="44"/>
      <c r="C105" s="44"/>
      <c r="D105" s="44"/>
      <c r="E105" s="44"/>
      <c r="F105" s="44"/>
      <c r="G105" s="44"/>
    </row>
    <row r="106" spans="1:7" x14ac:dyDescent="0.2">
      <c r="A106" s="43"/>
      <c r="B106" s="43"/>
      <c r="C106" s="43"/>
      <c r="D106" s="43"/>
      <c r="E106" s="43"/>
      <c r="F106" s="43"/>
      <c r="G106" s="43"/>
    </row>
    <row r="107" spans="1:7" x14ac:dyDescent="0.2">
      <c r="A107" s="44"/>
      <c r="B107" s="44"/>
      <c r="C107" s="44"/>
      <c r="D107" s="44"/>
      <c r="E107" s="44"/>
      <c r="F107" s="44"/>
      <c r="G107" s="44"/>
    </row>
    <row r="108" spans="1:7" x14ac:dyDescent="0.2">
      <c r="A108" s="43"/>
      <c r="B108" s="43"/>
      <c r="C108" s="43"/>
      <c r="D108" s="43"/>
      <c r="E108" s="43"/>
      <c r="F108" s="43"/>
      <c r="G108" s="43"/>
    </row>
    <row r="109" spans="1:7" x14ac:dyDescent="0.2">
      <c r="A109" s="44"/>
      <c r="B109" s="44"/>
      <c r="C109" s="44"/>
      <c r="D109" s="44"/>
      <c r="E109" s="44"/>
      <c r="F109" s="44"/>
      <c r="G109" s="44"/>
    </row>
    <row r="110" spans="1:7" x14ac:dyDescent="0.2">
      <c r="A110" s="43"/>
      <c r="B110" s="43"/>
      <c r="C110" s="43"/>
      <c r="D110" s="43"/>
      <c r="E110" s="43"/>
      <c r="F110" s="43"/>
      <c r="G110" s="43"/>
    </row>
    <row r="111" spans="1:7" x14ac:dyDescent="0.2">
      <c r="A111" s="44"/>
      <c r="B111" s="44"/>
      <c r="C111" s="44"/>
      <c r="D111" s="44"/>
      <c r="E111" s="44"/>
      <c r="F111" s="44"/>
      <c r="G111" s="44"/>
    </row>
    <row r="112" spans="1:7" x14ac:dyDescent="0.2">
      <c r="A112" s="43"/>
      <c r="B112" s="43"/>
      <c r="C112" s="43"/>
      <c r="D112" s="43"/>
      <c r="E112" s="43"/>
      <c r="F112" s="43"/>
      <c r="G112" s="43"/>
    </row>
    <row r="113" spans="1:7" x14ac:dyDescent="0.2">
      <c r="A113" s="44"/>
      <c r="B113" s="44"/>
      <c r="C113" s="44"/>
      <c r="D113" s="44"/>
      <c r="E113" s="44"/>
      <c r="F113" s="44"/>
      <c r="G113" s="44"/>
    </row>
    <row r="114" spans="1:7" x14ac:dyDescent="0.2">
      <c r="A114" s="43"/>
      <c r="B114" s="43"/>
      <c r="C114" s="43"/>
      <c r="D114" s="43"/>
      <c r="E114" s="43"/>
      <c r="F114" s="43"/>
      <c r="G114" s="43"/>
    </row>
    <row r="115" spans="1:7" x14ac:dyDescent="0.2">
      <c r="A115" s="44"/>
      <c r="B115" s="44"/>
      <c r="C115" s="44"/>
      <c r="D115" s="44"/>
      <c r="E115" s="44"/>
      <c r="F115" s="44"/>
      <c r="G115" s="44"/>
    </row>
    <row r="116" spans="1:7" x14ac:dyDescent="0.2">
      <c r="A116" s="43"/>
      <c r="B116" s="43"/>
      <c r="C116" s="43"/>
      <c r="D116" s="43"/>
      <c r="E116" s="43"/>
      <c r="F116" s="43"/>
      <c r="G116" s="43"/>
    </row>
    <row r="117" spans="1:7" x14ac:dyDescent="0.2">
      <c r="A117" s="44"/>
      <c r="B117" s="44"/>
      <c r="C117" s="44"/>
      <c r="D117" s="44"/>
      <c r="E117" s="44"/>
      <c r="F117" s="44"/>
      <c r="G117" s="44"/>
    </row>
    <row r="118" spans="1:7" x14ac:dyDescent="0.2">
      <c r="A118" s="43"/>
      <c r="B118" s="43"/>
      <c r="C118" s="43"/>
      <c r="D118" s="43"/>
      <c r="E118" s="43"/>
      <c r="F118" s="43"/>
      <c r="G118" s="43"/>
    </row>
    <row r="119" spans="1:7" x14ac:dyDescent="0.2">
      <c r="A119" s="44"/>
      <c r="B119" s="44"/>
      <c r="C119" s="44"/>
      <c r="D119" s="44"/>
      <c r="E119" s="44"/>
      <c r="F119" s="44"/>
      <c r="G119" s="44"/>
    </row>
    <row r="120" spans="1:7" x14ac:dyDescent="0.2">
      <c r="A120" s="43"/>
      <c r="B120" s="43"/>
      <c r="C120" s="43"/>
      <c r="D120" s="43"/>
      <c r="E120" s="43"/>
      <c r="F120" s="43"/>
      <c r="G120" s="43"/>
    </row>
    <row r="121" spans="1:7" x14ac:dyDescent="0.2">
      <c r="A121" s="44"/>
      <c r="B121" s="44"/>
      <c r="C121" s="44"/>
      <c r="D121" s="44"/>
      <c r="E121" s="44"/>
      <c r="F121" s="44"/>
      <c r="G121" s="44"/>
    </row>
    <row r="122" spans="1:7" x14ac:dyDescent="0.2">
      <c r="A122" s="43"/>
      <c r="B122" s="43"/>
      <c r="C122" s="43"/>
      <c r="D122" s="43"/>
      <c r="E122" s="43"/>
      <c r="F122" s="43"/>
      <c r="G122" s="43"/>
    </row>
    <row r="123" spans="1:7" x14ac:dyDescent="0.2">
      <c r="A123" s="44"/>
      <c r="B123" s="44"/>
      <c r="C123" s="44"/>
      <c r="D123" s="44"/>
      <c r="E123" s="44"/>
      <c r="F123" s="44"/>
      <c r="G123" s="44"/>
    </row>
    <row r="124" spans="1:7" x14ac:dyDescent="0.2">
      <c r="A124" s="43"/>
      <c r="B124" s="43"/>
      <c r="C124" s="43"/>
      <c r="D124" s="43"/>
      <c r="E124" s="43"/>
      <c r="F124" s="43"/>
      <c r="G124" s="43"/>
    </row>
    <row r="125" spans="1:7" x14ac:dyDescent="0.2">
      <c r="A125" s="44"/>
      <c r="B125" s="44"/>
      <c r="C125" s="44"/>
      <c r="D125" s="44"/>
      <c r="E125" s="44"/>
      <c r="F125" s="44"/>
      <c r="G125" s="44"/>
    </row>
    <row r="126" spans="1:7" x14ac:dyDescent="0.2">
      <c r="A126" s="43"/>
      <c r="B126" s="43"/>
      <c r="C126" s="43"/>
      <c r="D126" s="43"/>
      <c r="E126" s="43"/>
      <c r="F126" s="43"/>
      <c r="G126" s="43"/>
    </row>
    <row r="127" spans="1:7" x14ac:dyDescent="0.2">
      <c r="A127" s="44"/>
      <c r="B127" s="44"/>
      <c r="C127" s="44"/>
      <c r="D127" s="44"/>
      <c r="E127" s="44"/>
      <c r="F127" s="44"/>
      <c r="G127" s="44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4"/>
      <c r="B129" s="44"/>
      <c r="C129" s="44"/>
      <c r="D129" s="44"/>
      <c r="E129" s="44"/>
      <c r="F129" s="44"/>
      <c r="G129" s="44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4"/>
      <c r="B131" s="44"/>
      <c r="C131" s="44"/>
      <c r="D131" s="44"/>
      <c r="E131" s="44"/>
      <c r="F131" s="44"/>
      <c r="G131" s="44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4"/>
      <c r="B133" s="44"/>
      <c r="C133" s="44"/>
      <c r="D133" s="44"/>
      <c r="E133" s="44"/>
      <c r="F133" s="44"/>
      <c r="G133" s="44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4"/>
      <c r="B135" s="44"/>
      <c r="C135" s="44"/>
      <c r="D135" s="44"/>
      <c r="E135" s="44"/>
      <c r="F135" s="44"/>
      <c r="G135" s="44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4"/>
      <c r="B137" s="44"/>
      <c r="C137" s="44"/>
      <c r="D137" s="44"/>
      <c r="E137" s="44"/>
      <c r="F137" s="44"/>
      <c r="G137" s="44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4"/>
      <c r="B139" s="44"/>
      <c r="C139" s="44"/>
      <c r="D139" s="44"/>
      <c r="E139" s="44"/>
      <c r="F139" s="44"/>
      <c r="G139" s="44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4"/>
      <c r="B141" s="44"/>
      <c r="C141" s="44"/>
      <c r="D141" s="44"/>
      <c r="E141" s="44"/>
      <c r="F141" s="44"/>
      <c r="G141" s="44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4"/>
      <c r="B143" s="44"/>
      <c r="C143" s="44"/>
      <c r="D143" s="44"/>
      <c r="E143" s="44"/>
      <c r="F143" s="44"/>
      <c r="G143" s="44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4"/>
      <c r="B145" s="44"/>
      <c r="C145" s="44"/>
      <c r="D145" s="44"/>
      <c r="E145" s="44"/>
      <c r="F145" s="44"/>
      <c r="G145" s="44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4"/>
      <c r="B147" s="44"/>
      <c r="C147" s="44"/>
      <c r="D147" s="44"/>
      <c r="E147" s="44"/>
      <c r="F147" s="44"/>
      <c r="G147" s="44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4"/>
      <c r="B149" s="44"/>
      <c r="C149" s="44"/>
      <c r="D149" s="44"/>
      <c r="E149" s="44"/>
      <c r="F149" s="44"/>
      <c r="G149" s="44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4"/>
      <c r="B151" s="44"/>
      <c r="C151" s="44"/>
      <c r="D151" s="44"/>
      <c r="E151" s="44"/>
      <c r="F151" s="44"/>
      <c r="G151" s="44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4"/>
      <c r="B153" s="44"/>
      <c r="C153" s="44"/>
      <c r="D153" s="44"/>
      <c r="E153" s="44"/>
      <c r="F153" s="44"/>
      <c r="G153" s="44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4"/>
      <c r="B155" s="44"/>
      <c r="C155" s="44"/>
      <c r="D155" s="44"/>
      <c r="E155" s="44"/>
      <c r="F155" s="44"/>
      <c r="G155" s="44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4"/>
      <c r="B157" s="44"/>
      <c r="C157" s="44"/>
      <c r="D157" s="44"/>
      <c r="E157" s="44"/>
      <c r="F157" s="44"/>
      <c r="G157" s="44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4"/>
      <c r="B159" s="44"/>
      <c r="C159" s="44"/>
      <c r="D159" s="44"/>
      <c r="E159" s="44"/>
      <c r="F159" s="44"/>
      <c r="G159" s="44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4"/>
      <c r="B161" s="44"/>
      <c r="C161" s="44"/>
      <c r="D161" s="44"/>
      <c r="E161" s="44"/>
      <c r="F161" s="44"/>
      <c r="G161" s="44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4"/>
      <c r="B163" s="44"/>
      <c r="C163" s="44"/>
      <c r="D163" s="44"/>
      <c r="E163" s="44"/>
      <c r="F163" s="44"/>
      <c r="G163" s="44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4"/>
      <c r="B165" s="44"/>
      <c r="C165" s="44"/>
      <c r="D165" s="44"/>
      <c r="E165" s="44"/>
      <c r="F165" s="44"/>
      <c r="G165" s="44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4"/>
      <c r="B167" s="44"/>
      <c r="C167" s="44"/>
      <c r="D167" s="44"/>
      <c r="E167" s="44"/>
      <c r="F167" s="44"/>
      <c r="G167" s="44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4"/>
      <c r="B169" s="44"/>
      <c r="C169" s="44"/>
      <c r="D169" s="44"/>
      <c r="E169" s="44"/>
      <c r="F169" s="44"/>
      <c r="G169" s="44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4"/>
      <c r="B171" s="44"/>
      <c r="C171" s="44"/>
      <c r="D171" s="44"/>
      <c r="E171" s="44"/>
      <c r="F171" s="44"/>
      <c r="G171" s="44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4"/>
      <c r="B173" s="44"/>
      <c r="C173" s="44"/>
      <c r="D173" s="44"/>
      <c r="E173" s="44"/>
      <c r="F173" s="44"/>
      <c r="G173" s="44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4"/>
      <c r="B175" s="44"/>
      <c r="C175" s="44"/>
      <c r="D175" s="44"/>
      <c r="E175" s="44"/>
      <c r="F175" s="44"/>
      <c r="G175" s="44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4"/>
      <c r="B177" s="44"/>
      <c r="C177" s="44"/>
      <c r="D177" s="44"/>
      <c r="E177" s="44"/>
      <c r="F177" s="44"/>
      <c r="G177" s="44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4"/>
      <c r="B199" s="44"/>
      <c r="C199" s="44"/>
      <c r="D199" s="44"/>
      <c r="E199" s="44"/>
      <c r="F199" s="44"/>
      <c r="G199" s="44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4"/>
      <c r="B201" s="44"/>
      <c r="C201" s="44"/>
      <c r="D201" s="44"/>
      <c r="E201" s="44"/>
      <c r="F201" s="44"/>
      <c r="G201" s="44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4"/>
      <c r="B203" s="44"/>
      <c r="C203" s="44"/>
      <c r="D203" s="44"/>
      <c r="E203" s="44"/>
      <c r="F203" s="44"/>
      <c r="G203" s="44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4"/>
      <c r="B205" s="44"/>
      <c r="C205" s="44"/>
      <c r="D205" s="44"/>
      <c r="E205" s="44"/>
      <c r="F205" s="44"/>
      <c r="G205" s="44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4"/>
      <c r="B207" s="44"/>
      <c r="C207" s="44"/>
      <c r="D207" s="44"/>
      <c r="E207" s="44"/>
      <c r="F207" s="44"/>
      <c r="G207" s="44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4"/>
      <c r="B209" s="44"/>
      <c r="C209" s="44"/>
      <c r="D209" s="44"/>
      <c r="E209" s="44"/>
      <c r="F209" s="44"/>
      <c r="G209" s="44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4"/>
      <c r="B211" s="44"/>
      <c r="C211" s="44"/>
      <c r="D211" s="44"/>
      <c r="E211" s="44"/>
      <c r="F211" s="44"/>
      <c r="G211" s="44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4"/>
      <c r="B213" s="44"/>
      <c r="C213" s="44"/>
      <c r="D213" s="44"/>
      <c r="E213" s="44"/>
      <c r="F213" s="44"/>
      <c r="G213" s="44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4"/>
      <c r="B215" s="44"/>
      <c r="C215" s="44"/>
      <c r="D215" s="44"/>
      <c r="E215" s="44"/>
      <c r="F215" s="44"/>
      <c r="G215" s="44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Obs-Incidence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'Obs-Incidence'!csv</vt:lpstr>
      <vt:lpstr>'Obs-OnART'!csv</vt:lpstr>
      <vt:lpstr>'Obs-Population'!csv</vt:lpstr>
      <vt:lpstr>'Obs-Prevalence'!csv</vt:lpstr>
      <vt:lpstr>Analyzers!custom_age_bins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2022-07-12T16:04:37Z</dcterms:modified>
</cp:coreProperties>
</file>